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d\Documents\GitHub\APQP\Scripts_R080_PROGRAM\"/>
    </mc:Choice>
  </mc:AlternateContent>
  <xr:revisionPtr revIDLastSave="0" documentId="13_ncr:1_{9E58D087-96B2-44A7-8594-C657402AB59F}" xr6:coauthVersionLast="47" xr6:coauthVersionMax="47" xr10:uidLastSave="{00000000-0000-0000-0000-000000000000}"/>
  <bookViews>
    <workbookView xWindow="-120" yWindow="-120" windowWidth="29040" windowHeight="15840" tabRatio="370" activeTab="4" xr2:uid="{31C1A467-BD5D-4066-8C24-9EDA11CFF2CF}"/>
  </bookViews>
  <sheets>
    <sheet name="Hoja1" sheetId="1" r:id="rId1"/>
    <sheet name="PROGRAMAS" sheetId="2" r:id="rId2"/>
    <sheet name="MODELOS" sheetId="3" r:id="rId3"/>
    <sheet name="Hoja4" sheetId="4" r:id="rId4"/>
    <sheet name="DATA_02" sheetId="5" r:id="rId5"/>
    <sheet name="COTI" sheetId="6" r:id="rId6"/>
    <sheet name="Hoja5" sheetId="7" r:id="rId7"/>
  </sheets>
  <definedNames>
    <definedName name="_xlnm._FilterDatabase" localSheetId="0" hidden="1">Hoja1!$A$5:$L$155</definedName>
    <definedName name="_xlnm._FilterDatabase" localSheetId="2" hidden="1">MODELOS!$A$2:$G$156</definedName>
    <definedName name="_xlnm._FilterDatabase" localSheetId="1" hidden="1">PROGRAMAS!$A$2:$C$2</definedName>
    <definedName name="_xlnm.Extrac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5" l="1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3" i="5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3" i="3"/>
  <c r="J3" i="3"/>
  <c r="J155" i="3"/>
  <c r="J153" i="3"/>
  <c r="J152" i="3"/>
  <c r="J151" i="3"/>
  <c r="J150" i="3"/>
  <c r="J149" i="3"/>
  <c r="J148" i="3"/>
  <c r="J136" i="3"/>
  <c r="J133" i="3"/>
  <c r="J132" i="3"/>
  <c r="J128" i="3"/>
  <c r="J119" i="3"/>
  <c r="J115" i="3"/>
  <c r="J114" i="3"/>
  <c r="J108" i="3"/>
  <c r="J93" i="3"/>
  <c r="J92" i="3"/>
  <c r="J91" i="3"/>
  <c r="J83" i="3"/>
  <c r="J81" i="3"/>
  <c r="J77" i="3"/>
  <c r="J74" i="3"/>
  <c r="J69" i="3"/>
  <c r="J67" i="3"/>
  <c r="J64" i="3"/>
  <c r="J63" i="3"/>
  <c r="J61" i="3"/>
  <c r="J59" i="3"/>
  <c r="J58" i="3"/>
  <c r="J53" i="3"/>
  <c r="J51" i="3"/>
  <c r="J50" i="3"/>
  <c r="J49" i="3"/>
  <c r="J44" i="3"/>
  <c r="J43" i="3"/>
  <c r="J39" i="3"/>
  <c r="J36" i="3"/>
  <c r="J34" i="3"/>
  <c r="J31" i="3"/>
  <c r="J27" i="3"/>
  <c r="J22" i="3"/>
  <c r="J20" i="3"/>
  <c r="J16" i="3"/>
  <c r="J15" i="3"/>
  <c r="J14" i="3"/>
  <c r="J7" i="3"/>
  <c r="J6" i="3"/>
  <c r="J5" i="3"/>
  <c r="J4" i="3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</calcChain>
</file>

<file path=xl/sharedStrings.xml><?xml version="1.0" encoding="utf-8"?>
<sst xmlns="http://schemas.openxmlformats.org/spreadsheetml/2006/main" count="6392" uniqueCount="1182">
  <si>
    <t>YC5</t>
  </si>
  <si>
    <t>2021 WL 75 JEEP GRAND CHEROKEE</t>
  </si>
  <si>
    <t>YANG03</t>
  </si>
  <si>
    <t>YC4</t>
  </si>
  <si>
    <t>2021 WL 74 JEEP GRAND CHEROKEE</t>
  </si>
  <si>
    <t>YWS</t>
  </si>
  <si>
    <t xml:space="preserve">2021 WS JEEP GRAND WAGONEER   </t>
  </si>
  <si>
    <t>YANG02</t>
  </si>
  <si>
    <t>YWD</t>
  </si>
  <si>
    <t xml:space="preserve">WS YANGFENG DOOR PANEL        </t>
  </si>
  <si>
    <t>WPI</t>
  </si>
  <si>
    <t xml:space="preserve">2021 WPI WD CONSOLE LID       </t>
  </si>
  <si>
    <t>WPI003</t>
  </si>
  <si>
    <t>RUP</t>
  </si>
  <si>
    <t xml:space="preserve">2021 RU PINNACLE              </t>
  </si>
  <si>
    <t>WOOD01</t>
  </si>
  <si>
    <t>THE</t>
  </si>
  <si>
    <t xml:space="preserve">U228 NAVIGATOR HEADREST       </t>
  </si>
  <si>
    <t>TECH01</t>
  </si>
  <si>
    <t>MYS</t>
  </si>
  <si>
    <t xml:space="preserve">U388 HEADREST                 </t>
  </si>
  <si>
    <t>MAYS01</t>
  </si>
  <si>
    <t>XYZ</t>
  </si>
  <si>
    <t xml:space="preserve">WK TEST                       </t>
  </si>
  <si>
    <t>MAGN03</t>
  </si>
  <si>
    <t xml:space="preserve">2018 WK YL                    </t>
  </si>
  <si>
    <t>WSL</t>
  </si>
  <si>
    <t xml:space="preserve">2019 WS JEEP AL               </t>
  </si>
  <si>
    <t>WPL</t>
  </si>
  <si>
    <t xml:space="preserve">2018 WD PL                    </t>
  </si>
  <si>
    <t>WNL</t>
  </si>
  <si>
    <t xml:space="preserve">2018 WK NL                    </t>
  </si>
  <si>
    <t>WKZ</t>
  </si>
  <si>
    <t xml:space="preserve">2014 WK DZ(SRT)               </t>
  </si>
  <si>
    <t>WKY</t>
  </si>
  <si>
    <t>WKU</t>
  </si>
  <si>
    <t xml:space="preserve">2014 WK JEEP UL               </t>
  </si>
  <si>
    <t>WKT</t>
  </si>
  <si>
    <t xml:space="preserve">2014 WK JEEP GL/DL TWO TONES  </t>
  </si>
  <si>
    <t>WKL</t>
  </si>
  <si>
    <t xml:space="preserve">2015 WK KL ALTITUDE II        </t>
  </si>
  <si>
    <t>WKJ</t>
  </si>
  <si>
    <t xml:space="preserve">2017 WK CJ                    </t>
  </si>
  <si>
    <t>WKG</t>
  </si>
  <si>
    <t xml:space="preserve">2014 WK JEEP GL/DL            </t>
  </si>
  <si>
    <t>WEL</t>
  </si>
  <si>
    <t xml:space="preserve">2017 WK-EL RESERVE            </t>
  </si>
  <si>
    <t>WDM</t>
  </si>
  <si>
    <t xml:space="preserve">2017 WD ML                    </t>
  </si>
  <si>
    <t>WD2</t>
  </si>
  <si>
    <t xml:space="preserve">2017  WD ML DOS TONOS         </t>
  </si>
  <si>
    <t>WBL</t>
  </si>
  <si>
    <t xml:space="preserve">2017 WK BL                    </t>
  </si>
  <si>
    <t>U54</t>
  </si>
  <si>
    <t xml:space="preserve">U540 VINYL LAMINATION         </t>
  </si>
  <si>
    <t>SL3</t>
  </si>
  <si>
    <t xml:space="preserve">2013 U387 SEL                 </t>
  </si>
  <si>
    <t>RUM</t>
  </si>
  <si>
    <t xml:space="preserve">2016 RU OPCION ML             </t>
  </si>
  <si>
    <t>RUE</t>
  </si>
  <si>
    <t xml:space="preserve">2016 RU OPCION EL             </t>
  </si>
  <si>
    <t>RUA</t>
  </si>
  <si>
    <t xml:space="preserve">2016 RU OPCION AL             </t>
  </si>
  <si>
    <t>RDL</t>
  </si>
  <si>
    <t xml:space="preserve">2021 RU DL PINNACLE           </t>
  </si>
  <si>
    <t>PVP</t>
  </si>
  <si>
    <t xml:space="preserve">U387 FORD VPP                 </t>
  </si>
  <si>
    <t>PLS</t>
  </si>
  <si>
    <t xml:space="preserve">D471 2016 SALERNO             </t>
  </si>
  <si>
    <t>PLE</t>
  </si>
  <si>
    <t xml:space="preserve">D471 LTD 2013                 </t>
  </si>
  <si>
    <t>PLD</t>
  </si>
  <si>
    <t xml:space="preserve">D471 SEL 2013                 </t>
  </si>
  <si>
    <t>PLC</t>
  </si>
  <si>
    <t xml:space="preserve">D471 LTD PLATINIUM            </t>
  </si>
  <si>
    <t>PLB</t>
  </si>
  <si>
    <t xml:space="preserve">U388 HEADREST 2012            </t>
  </si>
  <si>
    <t>PL9</t>
  </si>
  <si>
    <t xml:space="preserve">U387 FORD SPORT 2011          </t>
  </si>
  <si>
    <t>PL8</t>
  </si>
  <si>
    <t xml:space="preserve">U387 FORD SPORT 2012          </t>
  </si>
  <si>
    <t>PL7</t>
  </si>
  <si>
    <t xml:space="preserve">U387 FORD SEL 2013            </t>
  </si>
  <si>
    <t xml:space="preserve">U387 FORD SEL 2012            </t>
  </si>
  <si>
    <t>PL6</t>
  </si>
  <si>
    <t xml:space="preserve">U388 LINCOLN ULTIMATE         </t>
  </si>
  <si>
    <t>PL5</t>
  </si>
  <si>
    <t xml:space="preserve">D471 LTD 2012                 </t>
  </si>
  <si>
    <t>PL4</t>
  </si>
  <si>
    <t xml:space="preserve">D471 SEL 2012                 </t>
  </si>
  <si>
    <t>PL3</t>
  </si>
  <si>
    <t xml:space="preserve">U388 LINCOLN BASE 2012        </t>
  </si>
  <si>
    <t>PL2</t>
  </si>
  <si>
    <t xml:space="preserve">U387 FORD SEL 2011 PLM        </t>
  </si>
  <si>
    <t>L88</t>
  </si>
  <si>
    <t xml:space="preserve">U388 LINCOLN LIMITED          </t>
  </si>
  <si>
    <t>GRE</t>
  </si>
  <si>
    <t xml:space="preserve">U387 FORD GREY                </t>
  </si>
  <si>
    <t>FCE</t>
  </si>
  <si>
    <t xml:space="preserve">U387 FORD CUTTING EDGE        </t>
  </si>
  <si>
    <t>3SU</t>
  </si>
  <si>
    <t xml:space="preserve">GMT 315 SUV                   </t>
  </si>
  <si>
    <t xml:space="preserve">U387 FORD PREMIUM             </t>
  </si>
  <si>
    <t>WTL</t>
  </si>
  <si>
    <t xml:space="preserve">2021 WL 75 TL 12 WAY          </t>
  </si>
  <si>
    <t>MAGN02</t>
  </si>
  <si>
    <t>WLK</t>
  </si>
  <si>
    <t xml:space="preserve">2021 WL KL 8W BASE SRT        </t>
  </si>
  <si>
    <t>WLB</t>
  </si>
  <si>
    <t xml:space="preserve">2021 WL 75 BL OVERLAND        </t>
  </si>
  <si>
    <t>WEC</t>
  </si>
  <si>
    <t xml:space="preserve">2021 WL 75 EC SUMMIT          </t>
  </si>
  <si>
    <t>WDL</t>
  </si>
  <si>
    <t xml:space="preserve">2021 WL 75 DL LIMITED         </t>
  </si>
  <si>
    <t>WCL</t>
  </si>
  <si>
    <t xml:space="preserve">2021 WL 75 CL 8 WAY           </t>
  </si>
  <si>
    <t>WC1</t>
  </si>
  <si>
    <t xml:space="preserve">2021 WL 75 CL 12 WAY          </t>
  </si>
  <si>
    <t>WAL</t>
  </si>
  <si>
    <t xml:space="preserve">2021 WL 75 AL 8W LIMITED      </t>
  </si>
  <si>
    <t>W7T</t>
  </si>
  <si>
    <t xml:space="preserve">2021 WL 74 TL                 </t>
  </si>
  <si>
    <t>W7S</t>
  </si>
  <si>
    <t xml:space="preserve">2021 WL 74 SL                 </t>
  </si>
  <si>
    <t>W7E</t>
  </si>
  <si>
    <t xml:space="preserve">2021 WL 74 EC                 </t>
  </si>
  <si>
    <t>W7D</t>
  </si>
  <si>
    <t xml:space="preserve">2021 WL 74 DL                 </t>
  </si>
  <si>
    <t>W7C</t>
  </si>
  <si>
    <t xml:space="preserve">2021 WL 74 CL 8W              </t>
  </si>
  <si>
    <t>W7B</t>
  </si>
  <si>
    <t xml:space="preserve">2021 WL 74 BL                 </t>
  </si>
  <si>
    <t>W7A</t>
  </si>
  <si>
    <t xml:space="preserve">2021 WL 74 AL                 </t>
  </si>
  <si>
    <t>UMA</t>
  </si>
  <si>
    <t xml:space="preserve">U377 MAZDA PREMIUM 2008       </t>
  </si>
  <si>
    <t>MAGN01</t>
  </si>
  <si>
    <t>U77</t>
  </si>
  <si>
    <t xml:space="preserve">U377 FORD MONO TONE           </t>
  </si>
  <si>
    <t>U55</t>
  </si>
  <si>
    <t xml:space="preserve">2019 U553 EXPEDITION          </t>
  </si>
  <si>
    <t>U3P</t>
  </si>
  <si>
    <t xml:space="preserve">U364 MCY PREMIUM              </t>
  </si>
  <si>
    <t>U3M</t>
  </si>
  <si>
    <t xml:space="preserve">U377 MERCURY PREMIUM 2008     </t>
  </si>
  <si>
    <t>U3L</t>
  </si>
  <si>
    <t xml:space="preserve">U364 MERCURY LTD STD          </t>
  </si>
  <si>
    <t>U37</t>
  </si>
  <si>
    <t xml:space="preserve">U377 MERCURY LTD 2008         </t>
  </si>
  <si>
    <t>U2M</t>
  </si>
  <si>
    <t xml:space="preserve">U204 MAZDA PREMIUM            </t>
  </si>
  <si>
    <t>U2L</t>
  </si>
  <si>
    <t xml:space="preserve">U204 FORD LTD STD             </t>
  </si>
  <si>
    <t>U2F</t>
  </si>
  <si>
    <t xml:space="preserve">U204 FORD LTD AB              </t>
  </si>
  <si>
    <t>U20</t>
  </si>
  <si>
    <t xml:space="preserve">U204 MAZDA AIR BAG            </t>
  </si>
  <si>
    <t>PLA</t>
  </si>
  <si>
    <t xml:space="preserve">VN-127 FORD ECONOLINE         </t>
  </si>
  <si>
    <t>PL1</t>
  </si>
  <si>
    <t xml:space="preserve">U377 FORD PREMIUM 11 PLM      </t>
  </si>
  <si>
    <t>MP9</t>
  </si>
  <si>
    <t xml:space="preserve">U377 MERCURY PREMIUM 2009     </t>
  </si>
  <si>
    <t>MAZ</t>
  </si>
  <si>
    <t xml:space="preserve">U377 MAZDA PREMIUM 2009       </t>
  </si>
  <si>
    <t>HRM</t>
  </si>
  <si>
    <t xml:space="preserve">U377 HEADREST 2010            </t>
  </si>
  <si>
    <t>GXS</t>
  </si>
  <si>
    <t xml:space="preserve">GMX001 SEDAN                  </t>
  </si>
  <si>
    <t>GX1</t>
  </si>
  <si>
    <t xml:space="preserve">GMX 001 COUPE L4              </t>
  </si>
  <si>
    <t>GMC</t>
  </si>
  <si>
    <t xml:space="preserve">GMX 001 COUPE                 </t>
  </si>
  <si>
    <t>TSL</t>
  </si>
  <si>
    <t xml:space="preserve">2013 D258 TAURUS SEL          </t>
  </si>
  <si>
    <t>LEAV01</t>
  </si>
  <si>
    <t>THO</t>
  </si>
  <si>
    <t>2013 D258 TAURUS SHO &amp; LIMITED</t>
  </si>
  <si>
    <t>THL</t>
  </si>
  <si>
    <t xml:space="preserve">2013 D258 TAURUS LTD          </t>
  </si>
  <si>
    <t>SH2</t>
  </si>
  <si>
    <t xml:space="preserve">2013 S197 MUSTANG SHELBY TT   </t>
  </si>
  <si>
    <t>SH1</t>
  </si>
  <si>
    <t xml:space="preserve">2013 S197 MUSTANG SHELBY 5B8  </t>
  </si>
  <si>
    <t>PRM</t>
  </si>
  <si>
    <t xml:space="preserve">2013 S197 MUSTANG PREMIUM     </t>
  </si>
  <si>
    <t>IUP</t>
  </si>
  <si>
    <t xml:space="preserve">2013 S197 MUSTANG IUP         </t>
  </si>
  <si>
    <t>G65</t>
  </si>
  <si>
    <t xml:space="preserve">GMX365 BUICK LACROSSE         </t>
  </si>
  <si>
    <t>CAL</t>
  </si>
  <si>
    <t xml:space="preserve">2013 S197 MUSTANG CALIFORNIA  </t>
  </si>
  <si>
    <t xml:space="preserve">GMX 365 2008 FIXED            </t>
  </si>
  <si>
    <t>KHE</t>
  </si>
  <si>
    <t>KONG01</t>
  </si>
  <si>
    <t>SHI</t>
  </si>
  <si>
    <t xml:space="preserve">GM360 CHEVY SHANGAI           </t>
  </si>
  <si>
    <t>JOHN04</t>
  </si>
  <si>
    <t>SHA</t>
  </si>
  <si>
    <t>GM 360 CHEVY/ISUZU/GMC SHANGAI</t>
  </si>
  <si>
    <t>SAA</t>
  </si>
  <si>
    <t xml:space="preserve">GM 360 SAAB                   </t>
  </si>
  <si>
    <t>JOHN03</t>
  </si>
  <si>
    <t>NAV</t>
  </si>
  <si>
    <t xml:space="preserve">U228 NAVIGATOR LUX EDIASA 3   </t>
  </si>
  <si>
    <t>GSS</t>
  </si>
  <si>
    <t xml:space="preserve">GM 360 TRAILBLAZER SS         </t>
  </si>
  <si>
    <t>DEN</t>
  </si>
  <si>
    <t xml:space="preserve">GM 360 DENALY                 </t>
  </si>
  <si>
    <t>CHE</t>
  </si>
  <si>
    <t xml:space="preserve">GM 360 CHEVY / ISUZU / GMC    </t>
  </si>
  <si>
    <t>BUI</t>
  </si>
  <si>
    <t xml:space="preserve">GM 360 BUICK                  </t>
  </si>
  <si>
    <t xml:space="preserve">P415 PLATINIUM                </t>
  </si>
  <si>
    <t xml:space="preserve">U228 NAVIGATOR LUX/ULT        </t>
  </si>
  <si>
    <t>JCT</t>
  </si>
  <si>
    <t xml:space="preserve">JCI-TESLA                     </t>
  </si>
  <si>
    <t>JOHN02</t>
  </si>
  <si>
    <t>CHI</t>
  </si>
  <si>
    <t>GM360 CHEVY / ISUZU /GMC CHINA</t>
  </si>
  <si>
    <t xml:space="preserve">EN114 CONSOLE JCI             </t>
  </si>
  <si>
    <t>PL0</t>
  </si>
  <si>
    <t xml:space="preserve">U388 CONSOLE                  </t>
  </si>
  <si>
    <t>JOHN01</t>
  </si>
  <si>
    <t>GX2</t>
  </si>
  <si>
    <t xml:space="preserve">GMT 192 GXP 2008              </t>
  </si>
  <si>
    <t>IRVI03</t>
  </si>
  <si>
    <t>G93</t>
  </si>
  <si>
    <t xml:space="preserve">GMT 193 2008                  </t>
  </si>
  <si>
    <t>ARM</t>
  </si>
  <si>
    <t xml:space="preserve">ARMREST GMT 193               </t>
  </si>
  <si>
    <t xml:space="preserve">GMT 192 2008                  </t>
  </si>
  <si>
    <t xml:space="preserve">GMT 191 2008                  </t>
  </si>
  <si>
    <t>WLS</t>
  </si>
  <si>
    <t xml:space="preserve">WLS JEEP 2020                 </t>
  </si>
  <si>
    <t>IRVI02</t>
  </si>
  <si>
    <t>VMX</t>
  </si>
  <si>
    <t xml:space="preserve">V229 FREESTAR MXA             </t>
  </si>
  <si>
    <t>VMP</t>
  </si>
  <si>
    <t xml:space="preserve">V229 FREESTAR MPA             </t>
  </si>
  <si>
    <t>VML</t>
  </si>
  <si>
    <t xml:space="preserve">V229 FREESTAR MERCURY LTD     </t>
  </si>
  <si>
    <t>VFL</t>
  </si>
  <si>
    <t xml:space="preserve">V229 FORD FREESTAR LTD        </t>
  </si>
  <si>
    <t>JTS</t>
  </si>
  <si>
    <t xml:space="preserve">2021 JEEP JT SUMMIT           </t>
  </si>
  <si>
    <t>JTM</t>
  </si>
  <si>
    <t xml:space="preserve">2019 JEEP JT MOJAVE           </t>
  </si>
  <si>
    <t>JSU</t>
  </si>
  <si>
    <t xml:space="preserve">JEEPJL SUMMIT                 </t>
  </si>
  <si>
    <t>JPS</t>
  </si>
  <si>
    <t xml:space="preserve">2021 JEEP JL PHEV SUMMIT      </t>
  </si>
  <si>
    <t>JPH</t>
  </si>
  <si>
    <t xml:space="preserve">2020 JEEP JL PHEV             </t>
  </si>
  <si>
    <t>JLI</t>
  </si>
  <si>
    <t xml:space="preserve">2018 JEEP JL                  </t>
  </si>
  <si>
    <t>JJT</t>
  </si>
  <si>
    <t xml:space="preserve">2019 JEEP JT                  </t>
  </si>
  <si>
    <t>GXP</t>
  </si>
  <si>
    <t>GM3</t>
  </si>
  <si>
    <t>GM2</t>
  </si>
  <si>
    <t xml:space="preserve">GMT 192 PONTIAC PERSUIT       </t>
  </si>
  <si>
    <t>GM1</t>
  </si>
  <si>
    <t xml:space="preserve">GMT 191 PONTIAC TORRENT       </t>
  </si>
  <si>
    <t>88L</t>
  </si>
  <si>
    <t>88H</t>
  </si>
  <si>
    <t>88A</t>
  </si>
  <si>
    <t xml:space="preserve">U388 LINCOLN ARMREST          </t>
  </si>
  <si>
    <t>87P</t>
  </si>
  <si>
    <t>87C</t>
  </si>
  <si>
    <t xml:space="preserve">GMT 193 2007                  </t>
  </si>
  <si>
    <t>GWL</t>
  </si>
  <si>
    <t xml:space="preserve">2021 WL 74/75 2ND. ROW ARMRE  </t>
  </si>
  <si>
    <t>GRAM04</t>
  </si>
  <si>
    <t>GW2</t>
  </si>
  <si>
    <t xml:space="preserve">2021 WL 75 QUADS 2ND. ROW AR  </t>
  </si>
  <si>
    <t>GAR</t>
  </si>
  <si>
    <t>GRAM01</t>
  </si>
  <si>
    <t>MCY</t>
  </si>
  <si>
    <t xml:space="preserve">U364 MERCURY LTD FINDALY      </t>
  </si>
  <si>
    <t>FIND02</t>
  </si>
  <si>
    <t>WS3</t>
  </si>
  <si>
    <t xml:space="preserve">2021 WS UL ALWAYS QUILTED     </t>
  </si>
  <si>
    <t>FAUR01</t>
  </si>
  <si>
    <t>S3U</t>
  </si>
  <si>
    <t xml:space="preserve">2021 WS UL JEEP 3RD ROW       </t>
  </si>
  <si>
    <t>S3S</t>
  </si>
  <si>
    <t xml:space="preserve">2021 WS SL JEEP 3RD ROW       </t>
  </si>
  <si>
    <t>FWS</t>
  </si>
  <si>
    <t xml:space="preserve">2021 WS AL JEEP BASE          </t>
  </si>
  <si>
    <t>FW2</t>
  </si>
  <si>
    <t xml:space="preserve">2021 WS JEEP SL NEVER QUILTED </t>
  </si>
  <si>
    <t>C3B</t>
  </si>
  <si>
    <t xml:space="preserve">2021 WS AL JEEP 3RD ROW       </t>
  </si>
  <si>
    <t>C3A</t>
  </si>
  <si>
    <t xml:space="preserve">2021 WS BL-GL EEP 3RD ROW     </t>
  </si>
  <si>
    <t>WLE</t>
  </si>
  <si>
    <t xml:space="preserve">2021 WL EISMANN               </t>
  </si>
  <si>
    <t>EISS01</t>
  </si>
  <si>
    <t>WDK</t>
  </si>
  <si>
    <t xml:space="preserve">2021 WK WD 2ND ROW ARMREST    </t>
  </si>
  <si>
    <t>DAIM05</t>
  </si>
  <si>
    <t>77H</t>
  </si>
  <si>
    <t xml:space="preserve">U377 FORD HEADREST            </t>
  </si>
  <si>
    <t>CNII01</t>
  </si>
  <si>
    <t>WD7</t>
  </si>
  <si>
    <t xml:space="preserve">2021 WL DL 75 VPD             </t>
  </si>
  <si>
    <t>ALGRP1</t>
  </si>
  <si>
    <t>OPCIÓN 1</t>
  </si>
  <si>
    <t>modeldesc</t>
  </si>
  <si>
    <t>cus_no</t>
  </si>
  <si>
    <t>A4GLIdentity</t>
  </si>
  <si>
    <t>#NO</t>
  </si>
  <si>
    <t>GR1</t>
  </si>
  <si>
    <t>GR2</t>
  </si>
  <si>
    <t>GRM</t>
  </si>
  <si>
    <t>GWS</t>
  </si>
  <si>
    <t>2021 WL 75 QUADS 2ND. ROW ARMR</t>
  </si>
  <si>
    <t xml:space="preserve">WS FOLDING 2ND-ROW ARM REST   </t>
  </si>
  <si>
    <t>2021 WL 74/75 2ND. ROW ARMREST</t>
  </si>
  <si>
    <t xml:space="preserve">2021 WS GRAN WAGONNER         </t>
  </si>
  <si>
    <t>modelno/PROGRAMA</t>
  </si>
  <si>
    <t>,</t>
  </si>
  <si>
    <t xml:space="preserve">EXECUTE [dbo].[PG_CI_ARCUSFIL_PROGRAM]  0, 0, </t>
  </si>
  <si>
    <t>WL</t>
  </si>
  <si>
    <t>U377</t>
  </si>
  <si>
    <t>WK</t>
  </si>
  <si>
    <t>WS</t>
  </si>
  <si>
    <t>U364</t>
  </si>
  <si>
    <t>U388</t>
  </si>
  <si>
    <t>GMT</t>
  </si>
  <si>
    <t>U387</t>
  </si>
  <si>
    <t>JL</t>
  </si>
  <si>
    <t>V229</t>
  </si>
  <si>
    <t>JCI</t>
  </si>
  <si>
    <t>GM360</t>
  </si>
  <si>
    <t>P415</t>
  </si>
  <si>
    <t>U228</t>
  </si>
  <si>
    <t>GMX365</t>
  </si>
  <si>
    <t>S197</t>
  </si>
  <si>
    <t>D258</t>
  </si>
  <si>
    <t>GMX001</t>
  </si>
  <si>
    <t>VN127</t>
  </si>
  <si>
    <t>U204</t>
  </si>
  <si>
    <t>U553</t>
  </si>
  <si>
    <t>D471</t>
  </si>
  <si>
    <t>RU</t>
  </si>
  <si>
    <t>U540</t>
  </si>
  <si>
    <t>WD</t>
  </si>
  <si>
    <t>CUSTOMER</t>
  </si>
  <si>
    <t>PROGRAM</t>
  </si>
  <si>
    <t>MODEL</t>
  </si>
  <si>
    <t>DESCRIPTION_MODEL</t>
  </si>
  <si>
    <t>JT</t>
  </si>
  <si>
    <t>X</t>
  </si>
  <si>
    <t>SI3</t>
  </si>
  <si>
    <t>3NEWMODELSIS</t>
  </si>
  <si>
    <t>INSER PARA CI_PROGRAMAS SE ACTIVAS EL FILTRO X</t>
  </si>
  <si>
    <t>FILTRO X</t>
  </si>
  <si>
    <t>K_ARCUSFIL_PROGRAM</t>
  </si>
  <si>
    <t>S_ARCUSFIL_PROGRAM</t>
  </si>
  <si>
    <t>.</t>
  </si>
  <si>
    <t xml:space="preserve">EXECUTE [dbo].[PG_CI_ARCUSFIL_PROGRAM_MODEL]  0, 0, </t>
  </si>
  <si>
    <t>modelno</t>
  </si>
  <si>
    <t>versionno</t>
  </si>
  <si>
    <t>versiondesc</t>
  </si>
  <si>
    <t>changetype</t>
  </si>
  <si>
    <t>duedate</t>
  </si>
  <si>
    <t>contractutil</t>
  </si>
  <si>
    <t>custchglevel</t>
  </si>
  <si>
    <t>status</t>
  </si>
  <si>
    <t>currcode</t>
  </si>
  <si>
    <t>uom</t>
  </si>
  <si>
    <t>specstatus</t>
  </si>
  <si>
    <t>CustRFQDate</t>
  </si>
  <si>
    <t>CustRFQNo</t>
  </si>
  <si>
    <t>notes1</t>
  </si>
  <si>
    <t>notes2</t>
  </si>
  <si>
    <t>notes3</t>
  </si>
  <si>
    <t>notes4</t>
  </si>
  <si>
    <t>notes5</t>
  </si>
  <si>
    <t>spec_edit_fg</t>
  </si>
  <si>
    <t>price_edit_fg</t>
  </si>
  <si>
    <t>maint_edit_fg</t>
  </si>
  <si>
    <t>modver_inherited</t>
  </si>
  <si>
    <t>NoAPQP</t>
  </si>
  <si>
    <t xml:space="preserve">Pricing &amp; Engineering Change  </t>
  </si>
  <si>
    <t>B</t>
  </si>
  <si>
    <t xml:space="preserve">N/A                      </t>
  </si>
  <si>
    <t>L</t>
  </si>
  <si>
    <t>USD</t>
  </si>
  <si>
    <t>SF</t>
  </si>
  <si>
    <t>U</t>
  </si>
  <si>
    <t xml:space="preserve">N/A         </t>
  </si>
  <si>
    <t xml:space="preserve">Engineering Change Folio 0309-191                 </t>
  </si>
  <si>
    <t xml:space="preserve">                                                  </t>
  </si>
  <si>
    <t>Y</t>
  </si>
  <si>
    <t xml:space="preserve"> </t>
  </si>
  <si>
    <t>77H0006</t>
  </si>
  <si>
    <t>NULL</t>
  </si>
  <si>
    <t xml:space="preserve">QUOTE SYSTE,                  </t>
  </si>
  <si>
    <t xml:space="preserve">Model was entered from [TRIM_LEVEL]# 203          </t>
  </si>
  <si>
    <t xml:space="preserve">WDK5   </t>
  </si>
  <si>
    <t xml:space="preserve">SORTED/STYLE                  </t>
  </si>
  <si>
    <t>TBC</t>
  </si>
  <si>
    <t xml:space="preserve">Model was entered from [TRIM_LEVEL]# 258          </t>
  </si>
  <si>
    <t xml:space="preserve">WLE5   </t>
  </si>
  <si>
    <t xml:space="preserve">ADD SORTED/STYLE              </t>
  </si>
  <si>
    <t>NA</t>
  </si>
  <si>
    <t xml:space="preserve">Model was entered from [TRIM_LEVEL]# 227          </t>
  </si>
  <si>
    <t xml:space="preserve">C3A6   </t>
  </si>
  <si>
    <t xml:space="preserve">Model was entered from [TRIM_LEVEL]# 228          </t>
  </si>
  <si>
    <t xml:space="preserve">C3B6   </t>
  </si>
  <si>
    <t>ECR161958</t>
  </si>
  <si>
    <t xml:space="preserve">Model was entered from [TRIM_LEVEL]# 229          </t>
  </si>
  <si>
    <t xml:space="preserve">FW26   </t>
  </si>
  <si>
    <t>N/A</t>
  </si>
  <si>
    <t xml:space="preserve">Model was entered from [TRIM_LEVEL]# 230          </t>
  </si>
  <si>
    <t xml:space="preserve">FWS4   </t>
  </si>
  <si>
    <t xml:space="preserve">Model was entered from [TRIM_LEVEL]# 231          </t>
  </si>
  <si>
    <t xml:space="preserve">S3S5   </t>
  </si>
  <si>
    <t xml:space="preserve">Model was entered from [TRIM_LEVEL]# 232          </t>
  </si>
  <si>
    <t xml:space="preserve">S3U8   </t>
  </si>
  <si>
    <t xml:space="preserve">ADD SORTED / STYLE            </t>
  </si>
  <si>
    <t xml:space="preserve">Model was entered from [TRIM_LEVEL]# 273          </t>
  </si>
  <si>
    <t xml:space="preserve">WS35   </t>
  </si>
  <si>
    <t xml:space="preserve">New Model                     </t>
  </si>
  <si>
    <t>N</t>
  </si>
  <si>
    <t xml:space="preserve">U364 MERCURY LTD FINDLAY FOLIO 01071              </t>
  </si>
  <si>
    <t xml:space="preserve">MCY    </t>
  </si>
  <si>
    <t xml:space="preserve">EC DW#052913                  </t>
  </si>
  <si>
    <t xml:space="preserve">n/a                      </t>
  </si>
  <si>
    <t xml:space="preserve">n/a         </t>
  </si>
  <si>
    <t xml:space="preserve">CAMBIO ING TEMPORAL                               </t>
  </si>
  <si>
    <t>GAR0013</t>
  </si>
  <si>
    <t xml:space="preserve">QUOTE SYSTEM                  </t>
  </si>
  <si>
    <t xml:space="preserve">Model was entered from [TRIM_LEVEL]# 235          </t>
  </si>
  <si>
    <t xml:space="preserve">GR11   </t>
  </si>
  <si>
    <t xml:space="preserve">SORTED /STYLE                 </t>
  </si>
  <si>
    <t xml:space="preserve">Model was entered from [TRIM_LEVEL]# 252          </t>
  </si>
  <si>
    <t xml:space="preserve">GR21   </t>
  </si>
  <si>
    <t xml:space="preserve">SORTED/ STYLE                 </t>
  </si>
  <si>
    <t xml:space="preserve">Model was entered from [TRIM_LEVEL]# 253          </t>
  </si>
  <si>
    <t xml:space="preserve">GRM1   </t>
  </si>
  <si>
    <t>GW20001</t>
  </si>
  <si>
    <t xml:space="preserve">TBC         </t>
  </si>
  <si>
    <t>GWL0001</t>
  </si>
  <si>
    <t>NEW MODEL-PRICING ACORDING BPO</t>
  </si>
  <si>
    <t xml:space="preserve">Model was entered from [TRIM_LEVEL]# 133          </t>
  </si>
  <si>
    <t xml:space="preserve">GWS1   </t>
  </si>
  <si>
    <t xml:space="preserve">Pricing  Change               </t>
  </si>
  <si>
    <t xml:space="preserve">0.065 Cents Increase FOLIO 1207-193               </t>
  </si>
  <si>
    <t>87C0005</t>
  </si>
  <si>
    <t xml:space="preserve">Change Howe part number       </t>
  </si>
  <si>
    <t xml:space="preserve">change howe part number                           </t>
  </si>
  <si>
    <t>87P0005</t>
  </si>
  <si>
    <t xml:space="preserve">Pricing Change                </t>
  </si>
  <si>
    <t xml:space="preserve">Price change                                      </t>
  </si>
  <si>
    <t>88L0003</t>
  </si>
  <si>
    <t xml:space="preserve">0.065 Cents Increase                              </t>
  </si>
  <si>
    <t>GM10009</t>
  </si>
  <si>
    <t xml:space="preserve">0.065 Cents Increase FOLIO 1207-092               </t>
  </si>
  <si>
    <t>GM20006</t>
  </si>
  <si>
    <t xml:space="preserve">MODIFY PROD CATEGORY                              </t>
  </si>
  <si>
    <t xml:space="preserve">GM3    </t>
  </si>
  <si>
    <t xml:space="preserve">0.065 Cents Increase FOLIO 1207-195               </t>
  </si>
  <si>
    <t>GXP0003</t>
  </si>
  <si>
    <t xml:space="preserve">AD                       </t>
  </si>
  <si>
    <t>JJT0016</t>
  </si>
  <si>
    <t>JLI0050</t>
  </si>
  <si>
    <t>JPH0007</t>
  </si>
  <si>
    <t>JPS0004</t>
  </si>
  <si>
    <t xml:space="preserve">DWO2020255  </t>
  </si>
  <si>
    <t>JSU0008</t>
  </si>
  <si>
    <t xml:space="preserve">SR2020255   </t>
  </si>
  <si>
    <t>JTM0008</t>
  </si>
  <si>
    <t xml:space="preserve">DW0315      </t>
  </si>
  <si>
    <t>JTS0006</t>
  </si>
  <si>
    <t xml:space="preserve">TO FIX MISTAKE IN V1                              </t>
  </si>
  <si>
    <t>VFL0001</t>
  </si>
  <si>
    <t xml:space="preserve">V229 FREESTAR MERCURY LTD FOLIO 01204             </t>
  </si>
  <si>
    <t xml:space="preserve">VML    </t>
  </si>
  <si>
    <t xml:space="preserve">V229 FREESTAR MPA FOLIO 01203                     </t>
  </si>
  <si>
    <t xml:space="preserve">VMP    </t>
  </si>
  <si>
    <t xml:space="preserve">V229 FREESTAR MXA FOLIO 1202-A                    </t>
  </si>
  <si>
    <t xml:space="preserve">VMX    </t>
  </si>
  <si>
    <t xml:space="preserve">Change only product category  </t>
  </si>
  <si>
    <t xml:space="preserve">Change only product category                      </t>
  </si>
  <si>
    <t xml:space="preserve">Change Only Product Category  </t>
  </si>
  <si>
    <t xml:space="preserve">Change Only Product Category                      </t>
  </si>
  <si>
    <t xml:space="preserve">New Release                                       </t>
  </si>
  <si>
    <t xml:space="preserve">ARM    </t>
  </si>
  <si>
    <t xml:space="preserve">G93    </t>
  </si>
  <si>
    <t xml:space="preserve">GX2    </t>
  </si>
  <si>
    <t xml:space="preserve">na                       </t>
  </si>
  <si>
    <t xml:space="preserve">na          </t>
  </si>
  <si>
    <t xml:space="preserve">2013 FLOOR CONSOLE INTRO                          </t>
  </si>
  <si>
    <t>PL00005</t>
  </si>
  <si>
    <t xml:space="preserve">AA                       </t>
  </si>
  <si>
    <t xml:space="preserve">REAR BOLSTER RH/LH PATTERN DELETED                </t>
  </si>
  <si>
    <t>JCT0003</t>
  </si>
  <si>
    <t xml:space="preserve">Pricing Change Only           </t>
  </si>
  <si>
    <t>P</t>
  </si>
  <si>
    <t xml:space="preserve">Pricing change only                               </t>
  </si>
  <si>
    <t xml:space="preserve">Color Change                  </t>
  </si>
  <si>
    <t xml:space="preserve">color change from CNX to CNS                      </t>
  </si>
  <si>
    <t>BUI0002</t>
  </si>
  <si>
    <t xml:space="preserve">Engineering Change            </t>
  </si>
  <si>
    <t xml:space="preserve">COLOR CHANGE FROM CNX TO CNS ONLY 830K &amp; 9781     </t>
  </si>
  <si>
    <t>CHE0006</t>
  </si>
  <si>
    <t xml:space="preserve">color change                                      </t>
  </si>
  <si>
    <t>DEN0003</t>
  </si>
  <si>
    <t xml:space="preserve">only revision                                     </t>
  </si>
  <si>
    <t>GSS0004</t>
  </si>
  <si>
    <t xml:space="preserve">MATERIAL CHANGE               </t>
  </si>
  <si>
    <t xml:space="preserve">MATERIAL CHANGE A2 TO A1                          </t>
  </si>
  <si>
    <t xml:space="preserve">NAV    </t>
  </si>
  <si>
    <t xml:space="preserve">COLOR CHANGE FROM CNXLCA TO CNSLCA                </t>
  </si>
  <si>
    <t>SAA0004</t>
  </si>
  <si>
    <t xml:space="preserve">NEW PROGRAMM FOR SHANGAI                          </t>
  </si>
  <si>
    <t xml:space="preserve">SHI    </t>
  </si>
  <si>
    <t xml:space="preserve">Product categories change     </t>
  </si>
  <si>
    <t xml:space="preserve">Product categories change                         </t>
  </si>
  <si>
    <t xml:space="preserve">KHE    </t>
  </si>
  <si>
    <t xml:space="preserve">CHANGE PATTERNS G8R21009A &amp; G8R21070A TO AA       </t>
  </si>
  <si>
    <t xml:space="preserve">Pricing AMENDMENT             </t>
  </si>
  <si>
    <t xml:space="preserve">0313-201    </t>
  </si>
  <si>
    <t>CAL0002</t>
  </si>
  <si>
    <t xml:space="preserve">ECN E010843              </t>
  </si>
  <si>
    <t xml:space="preserve">LEAR GMX365 HQR154/05 FOLIO 1126-0505A 05/17/05   </t>
  </si>
  <si>
    <t xml:space="preserve">G65    </t>
  </si>
  <si>
    <t xml:space="preserve">CHANGE ON LEATHER DESCRIPTION </t>
  </si>
  <si>
    <t xml:space="preserve">X0217769                 </t>
  </si>
  <si>
    <t xml:space="preserve">1012-192    </t>
  </si>
  <si>
    <t xml:space="preserve">CHANGE ON LEATHER DESCRIPTION                     </t>
  </si>
  <si>
    <t>IUP0001</t>
  </si>
  <si>
    <t xml:space="preserve">LEATHER CHANGE ON DESCRIPTION </t>
  </si>
  <si>
    <t xml:space="preserve">CSO-CSL                                           </t>
  </si>
  <si>
    <t xml:space="preserve">CMP-CML                                           </t>
  </si>
  <si>
    <t>PRM0001</t>
  </si>
  <si>
    <t xml:space="preserve">Pricing &amp; Amendment           </t>
  </si>
  <si>
    <t xml:space="preserve">0313-202    </t>
  </si>
  <si>
    <t>SH10002</t>
  </si>
  <si>
    <t xml:space="preserve">1012-195    </t>
  </si>
  <si>
    <t>SH20001</t>
  </si>
  <si>
    <t xml:space="preserve">EO49858     </t>
  </si>
  <si>
    <t>THL0019</t>
  </si>
  <si>
    <t xml:space="preserve">0518-052    </t>
  </si>
  <si>
    <t>THO0017</t>
  </si>
  <si>
    <t xml:space="preserve">A                        </t>
  </si>
  <si>
    <t xml:space="preserve">0114-011    </t>
  </si>
  <si>
    <t>TSL0014</t>
  </si>
  <si>
    <t xml:space="preserve">ADD PARTS NUMBER 412259B - 412260B                </t>
  </si>
  <si>
    <t>GMC0005</t>
  </si>
  <si>
    <t xml:space="preserve">Pricing Change                                    </t>
  </si>
  <si>
    <t>GX10006</t>
  </si>
  <si>
    <t xml:space="preserve">CHANGE ONLY REV                                   </t>
  </si>
  <si>
    <t>GXS0007</t>
  </si>
  <si>
    <t xml:space="preserve">Only Engineering Change       </t>
  </si>
  <si>
    <t xml:space="preserve">Only Engineering Change                           </t>
  </si>
  <si>
    <t>HRM0001</t>
  </si>
  <si>
    <t xml:space="preserve">Engineering Change                                </t>
  </si>
  <si>
    <t>MAZ0004</t>
  </si>
  <si>
    <t xml:space="preserve">CUTTING COST                  </t>
  </si>
  <si>
    <t xml:space="preserve">CUTTING COST                                      </t>
  </si>
  <si>
    <t>PL10004</t>
  </si>
  <si>
    <t xml:space="preserve">Engineering change Rev M      </t>
  </si>
  <si>
    <t xml:space="preserve">Engineering change Rev M                          </t>
  </si>
  <si>
    <t>PLA0001</t>
  </si>
  <si>
    <t xml:space="preserve">New Model 2010                </t>
  </si>
  <si>
    <t xml:space="preserve">New Model 2010                                    </t>
  </si>
  <si>
    <t>U370015</t>
  </si>
  <si>
    <t xml:space="preserve">PRICES NEW                                        </t>
  </si>
  <si>
    <t>U3L0009</t>
  </si>
  <si>
    <t>U3M0010</t>
  </si>
  <si>
    <t xml:space="preserve">CHANGE PRICES REAR BACK 60 FOLIO V0628-01         </t>
  </si>
  <si>
    <t>U3P0001</t>
  </si>
  <si>
    <t xml:space="preserve">B                        </t>
  </si>
  <si>
    <t>U550002</t>
  </si>
  <si>
    <t xml:space="preserve">2011 Engineering Change       </t>
  </si>
  <si>
    <t xml:space="preserve">2011 ENGINEERING CHANGE                           </t>
  </si>
  <si>
    <t>U770017</t>
  </si>
  <si>
    <t xml:space="preserve">PSB PSB                       </t>
  </si>
  <si>
    <t>003498-00350</t>
  </si>
  <si>
    <t xml:space="preserve">Model was entered from [TRIM_LEVEL]# 267          </t>
  </si>
  <si>
    <t xml:space="preserve">W7A6   </t>
  </si>
  <si>
    <t xml:space="preserve">Model was entered from [TRIM_LEVEL]# 266          </t>
  </si>
  <si>
    <t xml:space="preserve">W7B8   </t>
  </si>
  <si>
    <t xml:space="preserve">PSB_PSB                       </t>
  </si>
  <si>
    <t>003498 00350</t>
  </si>
  <si>
    <t xml:space="preserve">Model was entered from [TRIM_LEVEL]# 214          </t>
  </si>
  <si>
    <t xml:space="preserve">W7C6   </t>
  </si>
  <si>
    <t>003498-03500</t>
  </si>
  <si>
    <t xml:space="preserve">Model was entered from [TRIM_LEVEL]# 222          </t>
  </si>
  <si>
    <t xml:space="preserve">W7D7   </t>
  </si>
  <si>
    <t>003498-003500</t>
  </si>
  <si>
    <t xml:space="preserve">Model was entered from [TRIM_LEVEL]# 264          </t>
  </si>
  <si>
    <t xml:space="preserve">W7E7   </t>
  </si>
  <si>
    <t xml:space="preserve">Model was entered from [TRIM_LEVEL]# 246          </t>
  </si>
  <si>
    <t xml:space="preserve">W7S1   </t>
  </si>
  <si>
    <t xml:space="preserve">Model was entered from [TRIM_LEVEL]# 265          </t>
  </si>
  <si>
    <t xml:space="preserve">W7T8   </t>
  </si>
  <si>
    <t xml:space="preserve">FULL GRAIN INSERT UPP BOLSTER </t>
  </si>
  <si>
    <t>0642,411 433</t>
  </si>
  <si>
    <t xml:space="preserve">Model was entered from [TRIM_LEVEL]# 278          </t>
  </si>
  <si>
    <t xml:space="preserve">WAL12  </t>
  </si>
  <si>
    <t xml:space="preserve">Model was entered from [TRIM_LEVEL]# 224          </t>
  </si>
  <si>
    <t xml:space="preserve">WC18   </t>
  </si>
  <si>
    <t xml:space="preserve">Model was entered from [TRIM_LEVEL]# 225          </t>
  </si>
  <si>
    <t xml:space="preserve">WCL8   </t>
  </si>
  <si>
    <t>642 411 433</t>
  </si>
  <si>
    <t xml:space="preserve">Model was entered from [TRIM_LEVEL]# 279          </t>
  </si>
  <si>
    <t xml:space="preserve">WDL17  </t>
  </si>
  <si>
    <t>WE6</t>
  </si>
  <si>
    <t xml:space="preserve">2021 WL 74 E6                 </t>
  </si>
  <si>
    <t xml:space="preserve">Model was entered from [TRIM_LEVEL]# 259          </t>
  </si>
  <si>
    <t xml:space="preserve">WE64   </t>
  </si>
  <si>
    <t xml:space="preserve">SORTED / STYLE                </t>
  </si>
  <si>
    <t xml:space="preserve">Model was entered from [TRIM_LEVEL]# 244          </t>
  </si>
  <si>
    <t xml:space="preserve">WEC9   </t>
  </si>
  <si>
    <t>112196/28/31</t>
  </si>
  <si>
    <t xml:space="preserve">Model was entered from [TRIM_LEVEL]# 245          </t>
  </si>
  <si>
    <t xml:space="preserve">WLB8   </t>
  </si>
  <si>
    <t xml:space="preserve">ROMA FULL GRAIN INSERT UPP    </t>
  </si>
  <si>
    <t xml:space="preserve">Model was entered from [TRIM_LEVEL]# 193          </t>
  </si>
  <si>
    <t xml:space="preserve">WLK10  </t>
  </si>
  <si>
    <t xml:space="preserve">CHANGES ON FSC                </t>
  </si>
  <si>
    <t>RFQ 003085</t>
  </si>
  <si>
    <t xml:space="preserve">Model was entered from [TRIM_LEVEL]# 236          </t>
  </si>
  <si>
    <t xml:space="preserve">WTL12  </t>
  </si>
  <si>
    <t xml:space="preserve">Cutting cost                  </t>
  </si>
  <si>
    <t xml:space="preserve">Cutting cost                                      </t>
  </si>
  <si>
    <t>PL40006</t>
  </si>
  <si>
    <t>PL50008</t>
  </si>
  <si>
    <t xml:space="preserve">Envelope                      </t>
  </si>
  <si>
    <t xml:space="preserve">aa                       </t>
  </si>
  <si>
    <t xml:space="preserve">0913-113    </t>
  </si>
  <si>
    <t>PL70013</t>
  </si>
  <si>
    <t xml:space="preserve">0913-111    </t>
  </si>
  <si>
    <t>PL80011</t>
  </si>
  <si>
    <t>PL90001</t>
  </si>
  <si>
    <t xml:space="preserve">Engineering change rev M                          </t>
  </si>
  <si>
    <t>PLC0001</t>
  </si>
  <si>
    <t xml:space="preserve">C                        </t>
  </si>
  <si>
    <t>PLD0009</t>
  </si>
  <si>
    <t>PLE0015</t>
  </si>
  <si>
    <t>PLS0007</t>
  </si>
  <si>
    <t xml:space="preserve">a                        </t>
  </si>
  <si>
    <t xml:space="preserve">a           </t>
  </si>
  <si>
    <t xml:space="preserve">correccion en fc                                  </t>
  </si>
  <si>
    <t>PVP0005</t>
  </si>
  <si>
    <t>106249/11179</t>
  </si>
  <si>
    <t xml:space="preserve">Model was entered from [TRIM_LEVEL]# 15           </t>
  </si>
  <si>
    <t xml:space="preserve">RDL12  </t>
  </si>
  <si>
    <t>111798/ 1034</t>
  </si>
  <si>
    <t xml:space="preserve">Model was entered from [TRIM_LEVEL]# 255          </t>
  </si>
  <si>
    <t xml:space="preserve">RUA33  </t>
  </si>
  <si>
    <t xml:space="preserve">Model was entered from [TRIM_LEVEL]# 261          </t>
  </si>
  <si>
    <t xml:space="preserve">RUE22  </t>
  </si>
  <si>
    <t>RUM0009</t>
  </si>
  <si>
    <t xml:space="preserve">MY2013 U387 SEL               </t>
  </si>
  <si>
    <t xml:space="preserve">PCN35626                 </t>
  </si>
  <si>
    <t xml:space="preserve">0812-303    </t>
  </si>
  <si>
    <t xml:space="preserve">MY2013 E/C ON FRONT COMPONENTS ONLY               </t>
  </si>
  <si>
    <t xml:space="preserve">REARS STILL THE SAME AS MY2012                    </t>
  </si>
  <si>
    <t xml:space="preserve">SL3    </t>
  </si>
  <si>
    <t>U540008</t>
  </si>
  <si>
    <t xml:space="preserve">Model was entered from [TRIM_LEVEL]# 18           </t>
  </si>
  <si>
    <t xml:space="preserve">WBL11  </t>
  </si>
  <si>
    <t xml:space="preserve">U ITEMS PRICES UPDATED        </t>
  </si>
  <si>
    <t>101922 10844</t>
  </si>
  <si>
    <t xml:space="preserve">Model was entered from [TRIM_LEVEL]# 240          </t>
  </si>
  <si>
    <t xml:space="preserve">WD213  </t>
  </si>
  <si>
    <t xml:space="preserve">B C                      </t>
  </si>
  <si>
    <t>WDM0014</t>
  </si>
  <si>
    <t xml:space="preserve">Model was entered from [TRIM_LEVEL]# 204          </t>
  </si>
  <si>
    <t xml:space="preserve">WEL10  </t>
  </si>
  <si>
    <t>WJY</t>
  </si>
  <si>
    <t xml:space="preserve">WK JY                         </t>
  </si>
  <si>
    <t xml:space="preserve">NEW MODEL                     </t>
  </si>
  <si>
    <t xml:space="preserve">Model was entered from [TRIM_LEVEL]# 208          </t>
  </si>
  <si>
    <t xml:space="preserve">WJY    </t>
  </si>
  <si>
    <t xml:space="preserve">Model was entered from [TRIM_LEVEL]# 256          </t>
  </si>
  <si>
    <t xml:space="preserve">WKG26  </t>
  </si>
  <si>
    <t xml:space="preserve">Model was entered from [TRIM_LEVEL]# 22           </t>
  </si>
  <si>
    <t xml:space="preserve">WKJ10  </t>
  </si>
  <si>
    <t xml:space="preserve">Model was entered from [TRIM_LEVEL]# 219          </t>
  </si>
  <si>
    <t xml:space="preserve">WKL10  </t>
  </si>
  <si>
    <t>WKT0007</t>
  </si>
  <si>
    <t>WKU0008</t>
  </si>
  <si>
    <t xml:space="preserve">Model was entered from [TRIM_LEVEL]# 25           </t>
  </si>
  <si>
    <t xml:space="preserve">WKY9   </t>
  </si>
  <si>
    <t xml:space="preserve">Model was entered from [TRIM_LEVEL]# 234          </t>
  </si>
  <si>
    <t xml:space="preserve">WKZ20  </t>
  </si>
  <si>
    <t xml:space="preserve">Model was entered from [TRIM_LEVEL]# 37           </t>
  </si>
  <si>
    <t xml:space="preserve">WNL9   </t>
  </si>
  <si>
    <t xml:space="preserve">SYSTEM QUOTE                  </t>
  </si>
  <si>
    <t xml:space="preserve">Model was entered from [TRIM_LEVEL]# 75           </t>
  </si>
  <si>
    <t xml:space="preserve">WPL8   </t>
  </si>
  <si>
    <t xml:space="preserve">Model was entered from [TRIM_LEVEL]# 103          </t>
  </si>
  <si>
    <t xml:space="preserve">XYZ17  </t>
  </si>
  <si>
    <t xml:space="preserve">New Programm                  </t>
  </si>
  <si>
    <t xml:space="preserve">New Model to May &amp; Scofield                       </t>
  </si>
  <si>
    <t xml:space="preserve">MYS    </t>
  </si>
  <si>
    <t xml:space="preserve">MATERIAL CHANGE                                   </t>
  </si>
  <si>
    <t xml:space="preserve">THE    </t>
  </si>
  <si>
    <t>TBA</t>
  </si>
  <si>
    <t xml:space="preserve">Model was entered from [TRIM_LEVEL]# 257          </t>
  </si>
  <si>
    <t xml:space="preserve">RUP7   </t>
  </si>
  <si>
    <t xml:space="preserve">NEW MODEL- QUOTE SYSTEM       </t>
  </si>
  <si>
    <t xml:space="preserve">Model was entered from [TRIM_LEVEL]# 202          </t>
  </si>
  <si>
    <t xml:space="preserve">WPI4   </t>
  </si>
  <si>
    <t>WL4</t>
  </si>
  <si>
    <t xml:space="preserve">2021 WL 74 JEEP GRAND C       </t>
  </si>
  <si>
    <t xml:space="preserve">Model was entered from [TRIM_LEVEL]# 271          </t>
  </si>
  <si>
    <t xml:space="preserve">WL41   </t>
  </si>
  <si>
    <t>WL5</t>
  </si>
  <si>
    <t xml:space="preserve">2021 WL 75 JEEP GRAND C       </t>
  </si>
  <si>
    <t xml:space="preserve">Model was entered from [TRIM_LEVEL]# 272          </t>
  </si>
  <si>
    <t xml:space="preserve">WL51   </t>
  </si>
  <si>
    <t>YWD0001</t>
  </si>
  <si>
    <t>YWS0001</t>
  </si>
  <si>
    <t xml:space="preserve">WL 74 ARMREST PATTERN CHANGE  </t>
  </si>
  <si>
    <t xml:space="preserve">Model was entered from [TRIM_LEVEL]# 262          </t>
  </si>
  <si>
    <t xml:space="preserve">YC48   </t>
  </si>
  <si>
    <t xml:space="preserve">ENGINEERING CHANGE PKG5       </t>
  </si>
  <si>
    <t xml:space="preserve">Model was entered from [TRIM_LEVEL]# 248          </t>
  </si>
  <si>
    <t xml:space="preserve">YC511  </t>
  </si>
  <si>
    <t>CUS_NAME</t>
  </si>
  <si>
    <t>CUS_NO</t>
  </si>
  <si>
    <t>D_ARCUSFIL_PROGRAM_MODEL</t>
  </si>
  <si>
    <t>S_ARCUSFIL_PROGRAM_MODEL</t>
  </si>
  <si>
    <t>PROD_CAT_DESC</t>
  </si>
  <si>
    <t>AUTOMOTIVE LEATHER GROUP</t>
  </si>
  <si>
    <t>2021 WL DL 75 VPD</t>
  </si>
  <si>
    <t>CNI INC</t>
  </si>
  <si>
    <t>U377 FORD HEADREST</t>
  </si>
  <si>
    <t>DAIMAY AUTOMOTIVE INTERIOR, S. DE R.L. D</t>
  </si>
  <si>
    <t>WK WD</t>
  </si>
  <si>
    <t>2021 WK WD 2ND ROW ARMREST</t>
  </si>
  <si>
    <t xml:space="preserve">2021 WD WK ARMR               </t>
  </si>
  <si>
    <t>Eissmann Automotive de Mexico</t>
  </si>
  <si>
    <t>2021 WL EISMANN</t>
  </si>
  <si>
    <t>FAURECIA AUTOMOTIVE SEATING INC.</t>
  </si>
  <si>
    <t>2021 WS BL-GL EEP 3RD ROW</t>
  </si>
  <si>
    <t xml:space="preserve">WS 3RD ROW AL                 </t>
  </si>
  <si>
    <t>2021 WS AL JEEP 3RD ROW</t>
  </si>
  <si>
    <t xml:space="preserve">WS 3RD ROW BLGL               </t>
  </si>
  <si>
    <t>2021 WS JEEP SL NEVER QUILTED</t>
  </si>
  <si>
    <t xml:space="preserve">WS SL NEV QUILT               </t>
  </si>
  <si>
    <t>2021 WS AL JEEP BASE</t>
  </si>
  <si>
    <t xml:space="preserve">2021 WS AL JEEP               </t>
  </si>
  <si>
    <t>2021 WS SL JEEP 3RD ROW</t>
  </si>
  <si>
    <t xml:space="preserve">WS 3RD ROW SL                 </t>
  </si>
  <si>
    <t>2021 WS UL JEEP 3RD ROW</t>
  </si>
  <si>
    <t xml:space="preserve">WS 3RD ROW UL                 </t>
  </si>
  <si>
    <t>2021 WS UL ALWAYS QUILTED</t>
  </si>
  <si>
    <t xml:space="preserve">WS UL ALWAYS QU               </t>
  </si>
  <si>
    <t>FINDLAY INDUSTRIES (FLORIDA)***********</t>
  </si>
  <si>
    <t>U364 MERCURY LTD FINDALY</t>
  </si>
  <si>
    <t>GRAMMER AUTOMOTIVE PUEBLA</t>
  </si>
  <si>
    <t>U388 LINCOLN ARMREST</t>
  </si>
  <si>
    <t>GRAMMER INDUSTRIES, INC</t>
  </si>
  <si>
    <t xml:space="preserve">WL 75 CAPTAIN A               </t>
  </si>
  <si>
    <t xml:space="preserve">2021 WL FOLDING               </t>
  </si>
  <si>
    <t>2021 WL 75 QUADS 2ND. ROW AR</t>
  </si>
  <si>
    <t xml:space="preserve">WL 75 CAPTAIN ARMREST         </t>
  </si>
  <si>
    <t>2021 WL 74/75 2ND. ROW ARMRE</t>
  </si>
  <si>
    <t xml:space="preserve">2021 WL FOLDING ARMREST       </t>
  </si>
  <si>
    <t>WS FOLDING 2ND-ROW ARM REST</t>
  </si>
  <si>
    <t xml:space="preserve">WS FOLDING ARMR               </t>
  </si>
  <si>
    <t>2021 WS GRAN WAGONNER</t>
  </si>
  <si>
    <t xml:space="preserve">2021 WS GRAN WA               </t>
  </si>
  <si>
    <t>IRVIN AUTOMOTIVE</t>
  </si>
  <si>
    <t>GMT 191 2008</t>
  </si>
  <si>
    <t>GMT 192 2008</t>
  </si>
  <si>
    <t>ARMREST GMT 193</t>
  </si>
  <si>
    <t>GMT 193 2008</t>
  </si>
  <si>
    <t>GMT 192 GXP 2008</t>
  </si>
  <si>
    <t>IRVIN AUTOMOTIVE PRODUCTS -PONTIAC</t>
  </si>
  <si>
    <t>GMT 193 2007</t>
  </si>
  <si>
    <t>GMT 191 PONTIAC TORRENT</t>
  </si>
  <si>
    <t>GMT 192 PONTIAC PERSUIT</t>
  </si>
  <si>
    <t>2018 JEEP JL</t>
  </si>
  <si>
    <t>2020 JEEP JL PHEV</t>
  </si>
  <si>
    <t>2021 JEEP JL PHEV SUMMIT</t>
  </si>
  <si>
    <t xml:space="preserve">JL PHEV SUMMIT                </t>
  </si>
  <si>
    <t>JEEPJL SUMMIT</t>
  </si>
  <si>
    <t xml:space="preserve">JEEP JL SUMMIT                </t>
  </si>
  <si>
    <t>2019 JEEP JT</t>
  </si>
  <si>
    <t>2019 JEEP JT MOJAVE</t>
  </si>
  <si>
    <t xml:space="preserve">JT MOJAVE                     </t>
  </si>
  <si>
    <t>2021 JEEP JT SUMMIT</t>
  </si>
  <si>
    <t xml:space="preserve">JEEP JT SUMMIT                </t>
  </si>
  <si>
    <t>U387 FORD CUTTING EDGE</t>
  </si>
  <si>
    <t>U387 FORD PREMIUM</t>
  </si>
  <si>
    <t>U388 HEADREST</t>
  </si>
  <si>
    <t>U388 LINCOLN LIMITED</t>
  </si>
  <si>
    <t>V229 FORD FREESTAR LTD</t>
  </si>
  <si>
    <t>V229 FREESTAR MERCURY LTD</t>
  </si>
  <si>
    <t>V229 FREESTAR MPA</t>
  </si>
  <si>
    <t>V229 FREESTAR MXA</t>
  </si>
  <si>
    <t>WLS JEEP 2020</t>
  </si>
  <si>
    <t xml:space="preserve">WL / WS                       </t>
  </si>
  <si>
    <t>JCIM MEXICO PROPERTIES,S.de R.L.</t>
  </si>
  <si>
    <t>U388 CONSOLE</t>
  </si>
  <si>
    <t>Johnson Control Interiors LLC</t>
  </si>
  <si>
    <t>EN114 CONSOLE JCI</t>
  </si>
  <si>
    <t>JCI-TESLA</t>
  </si>
  <si>
    <t>JOHNSON CONTROL SHANGAI</t>
  </si>
  <si>
    <t>GM360 CHEVY SHANGAI</t>
  </si>
  <si>
    <t>JOHNSON CONTROLS-EDIASA 3</t>
  </si>
  <si>
    <t>GM 360 BUICK</t>
  </si>
  <si>
    <t>GM 360 CHEVY / ISUZU / GMC</t>
  </si>
  <si>
    <t>GM 360 DENALY</t>
  </si>
  <si>
    <t>GM 360 TRAILBLAZER SS</t>
  </si>
  <si>
    <t>GM 360 SAAB</t>
  </si>
  <si>
    <t>P415 PLATINIUM</t>
  </si>
  <si>
    <t>U228 NAVIGATOR LUX/ULT</t>
  </si>
  <si>
    <t>U228 NAVIGATOR LUX EDIASA 3</t>
  </si>
  <si>
    <t>KONGSBERG AUTOMOTIVE</t>
  </si>
  <si>
    <t>LEAR MEXICAN SEATING CORP</t>
  </si>
  <si>
    <t>2013 D258 TAURUS LTD</t>
  </si>
  <si>
    <t>2013 D258 TAURUS SEL</t>
  </si>
  <si>
    <t>GMX 365 2008 FIXED</t>
  </si>
  <si>
    <t>GMX365 BUICK LACROSSE</t>
  </si>
  <si>
    <t>2013 S197 MUSTANG CALIFORNIA</t>
  </si>
  <si>
    <t>2013 S197 MUSTANG IUP</t>
  </si>
  <si>
    <t>2013 S197 MUSTANG PREMIUM</t>
  </si>
  <si>
    <t>2013 S197 MUSTANG SHELBY 5B8</t>
  </si>
  <si>
    <t>2013 S197 MUSTANG SHELBY TT</t>
  </si>
  <si>
    <t>MAGNA SEATING OF AMERICA INC (ACUÑA)</t>
  </si>
  <si>
    <t>2021 WL 74 AL</t>
  </si>
  <si>
    <t>2021 WL 74 BL</t>
  </si>
  <si>
    <t>2021 WL 74 CL 8W</t>
  </si>
  <si>
    <t xml:space="preserve">2021 WL 74 CL                 </t>
  </si>
  <si>
    <t>2021 WL 74 DL</t>
  </si>
  <si>
    <t>2021 WL 74 EC</t>
  </si>
  <si>
    <t xml:space="preserve">WL 74 EC                      </t>
  </si>
  <si>
    <t>2021 WL 74 SL</t>
  </si>
  <si>
    <t xml:space="preserve">WL 74 SL                      </t>
  </si>
  <si>
    <t>2021 WL 74 TL</t>
  </si>
  <si>
    <t>2021 WL 75 AL 8W LIMITED</t>
  </si>
  <si>
    <t xml:space="preserve">2021 WL AL                    </t>
  </si>
  <si>
    <t>2021 WL 75 CL 12 WAY</t>
  </si>
  <si>
    <t xml:space="preserve">2021 WL75 CL12W               </t>
  </si>
  <si>
    <t>2021 WL 75 CL 8 WAY</t>
  </si>
  <si>
    <t xml:space="preserve">2021 WL75 CL 8W               </t>
  </si>
  <si>
    <t>2021 WL 75 DL LIMITED</t>
  </si>
  <si>
    <t xml:space="preserve">2021 WL75 DL                  </t>
  </si>
  <si>
    <t>2021 WL 75 EC SUMMIT</t>
  </si>
  <si>
    <t xml:space="preserve">2021 WL75 EC                  </t>
  </si>
  <si>
    <t>2021 WL 75 BL OVERLAND</t>
  </si>
  <si>
    <t xml:space="preserve">WL 75 BL                      </t>
  </si>
  <si>
    <t>2021 WL KL 8W BASE SRT</t>
  </si>
  <si>
    <t xml:space="preserve">2021 WL KL E6                 </t>
  </si>
  <si>
    <t>2021 WL 75 TL 12 WAY</t>
  </si>
  <si>
    <t xml:space="preserve">WL 75 TL                      </t>
  </si>
  <si>
    <t>MAY &amp; SCOFIELD</t>
  </si>
  <si>
    <t>SEATING SYS.OF ACUNA DIV INTIER AUTO</t>
  </si>
  <si>
    <t>WK JY</t>
  </si>
  <si>
    <t>D471 SEL 2012</t>
  </si>
  <si>
    <t>D471 LTD 2012</t>
  </si>
  <si>
    <t>D471 LTD PLATINIUM</t>
  </si>
  <si>
    <t>D471 SEL 2013</t>
  </si>
  <si>
    <t>D471 LTD 2013</t>
  </si>
  <si>
    <t xml:space="preserve">OBSOLETE                      </t>
  </si>
  <si>
    <t>D471 2016 SALERNO</t>
  </si>
  <si>
    <t>GMT 315 SUV</t>
  </si>
  <si>
    <t>2021 RU DL PINNACLE</t>
  </si>
  <si>
    <t xml:space="preserve">RU PINNACLE DL                </t>
  </si>
  <si>
    <t>2016 RU OPCION AL</t>
  </si>
  <si>
    <t xml:space="preserve">RU AL                         </t>
  </si>
  <si>
    <t>2016 RU OPCION EL</t>
  </si>
  <si>
    <t xml:space="preserve">2016 R UEL                    </t>
  </si>
  <si>
    <t>2016 RU OPCION ML</t>
  </si>
  <si>
    <t>U387 FORD GREY</t>
  </si>
  <si>
    <t>U387 FORD SEL 2011 PLM</t>
  </si>
  <si>
    <t>U387 FORD SEL 2012</t>
  </si>
  <si>
    <t>U387 FORD SPORT 2012</t>
  </si>
  <si>
    <t>U387 FORD SPORT 2011</t>
  </si>
  <si>
    <t>U387 FORD VPP</t>
  </si>
  <si>
    <t>2013 U387 SEL</t>
  </si>
  <si>
    <t>U388 LINCOLN BASE 2012</t>
  </si>
  <si>
    <t>U388 LINCOLN ULTIMATE</t>
  </si>
  <si>
    <t>U388 HEADREST 2012</t>
  </si>
  <si>
    <t>U540 VINYL LAMINATION</t>
  </si>
  <si>
    <t>2017 WD ML DOS TONOS</t>
  </si>
  <si>
    <t xml:space="preserve">WD ML DOS TONOS               </t>
  </si>
  <si>
    <t>2017 WD ML</t>
  </si>
  <si>
    <t>2018 WD PL</t>
  </si>
  <si>
    <t>2017 WK BL</t>
  </si>
  <si>
    <t>2017 WK-EL RESERVE</t>
  </si>
  <si>
    <t xml:space="preserve">WK EL RESERVE                 </t>
  </si>
  <si>
    <t>2014 WK JEEP GL/DL</t>
  </si>
  <si>
    <t xml:space="preserve">WK JEEP GL DL                 </t>
  </si>
  <si>
    <t>2017 WK CJ</t>
  </si>
  <si>
    <t>2015 WK KL ALTITUDE II</t>
  </si>
  <si>
    <t xml:space="preserve">2015 WK KL                    </t>
  </si>
  <si>
    <t>2014 WK JEEP GL/DL TWO TONES</t>
  </si>
  <si>
    <t>2014 WK JEEP UL</t>
  </si>
  <si>
    <t>2018 WK YL</t>
  </si>
  <si>
    <t xml:space="preserve">WK YL                         </t>
  </si>
  <si>
    <t>2014 WK DZ(SRT)</t>
  </si>
  <si>
    <t xml:space="preserve">WK DZ-SRT                     </t>
  </si>
  <si>
    <t>2018 WK NL</t>
  </si>
  <si>
    <t>WK TEST</t>
  </si>
  <si>
    <t xml:space="preserve">DEVELOPER TEST                </t>
  </si>
  <si>
    <t>2019 WS JEEP AL</t>
  </si>
  <si>
    <t>SEATING SYSTEMS OF SABINAS</t>
  </si>
  <si>
    <t>GMX 001 COUPE</t>
  </si>
  <si>
    <t>GMX 001 COUPE L4</t>
  </si>
  <si>
    <t>GMX001 SEDAN</t>
  </si>
  <si>
    <t>U204 MAZDA AIR BAG</t>
  </si>
  <si>
    <t>U204 FORD LTD AB</t>
  </si>
  <si>
    <t>U204 FORD LTD STD</t>
  </si>
  <si>
    <t>U204 MAZDA PREMIUM</t>
  </si>
  <si>
    <t>U364 MERCURY LTD STD</t>
  </si>
  <si>
    <t>U364 MCY PREMIUM</t>
  </si>
  <si>
    <t>U377 HEADREST 2010</t>
  </si>
  <si>
    <t>U377 MAZDA PREMIUM 2009</t>
  </si>
  <si>
    <t>U377 MERCURY PREMIUM 2009</t>
  </si>
  <si>
    <t>U377 FORD PREMIUM 11 PLM</t>
  </si>
  <si>
    <t xml:space="preserve">U388 ULTIMATE                 </t>
  </si>
  <si>
    <t>U377 MERCURY LTD 2008</t>
  </si>
  <si>
    <t>U377 MERCURY PREMIUM 2008</t>
  </si>
  <si>
    <t>U377 FORD MONO TONE</t>
  </si>
  <si>
    <t>U377 MAZDA PREMIUM 2008</t>
  </si>
  <si>
    <t>2019 U553 EXPEDITION</t>
  </si>
  <si>
    <t xml:space="preserve">U553 VINYL                    </t>
  </si>
  <si>
    <t>VN-127 FORD ECONOLINE</t>
  </si>
  <si>
    <t>TECHNOTRIM</t>
  </si>
  <si>
    <t>U228 NAVIGATOR HEADREST</t>
  </si>
  <si>
    <t>WOODBRIDGE FOAM CORPORATION</t>
  </si>
  <si>
    <t>2021 RU PINNACLE</t>
  </si>
  <si>
    <t xml:space="preserve">RU PINNACLE                   </t>
  </si>
  <si>
    <t>2021 WPI WD CONSOLE LID</t>
  </si>
  <si>
    <t xml:space="preserve">WPI WD                        </t>
  </si>
  <si>
    <t>YANFENG AUTOMOTIVE INTERIOR</t>
  </si>
  <si>
    <t>WS YANGFENG DOOR PANEL</t>
  </si>
  <si>
    <t xml:space="preserve">WS DOORPANEL                  </t>
  </si>
  <si>
    <t>2021 WS JEEP GRAND WAGONEER</t>
  </si>
  <si>
    <t xml:space="preserve">WS FLOOR CONSOLE              </t>
  </si>
  <si>
    <t>YANGFENG AUTOMOTIVE INTERIOR SYSTEMS(THAILAND) CO.,LTD</t>
  </si>
  <si>
    <t xml:space="preserve">WL74 YFC DOOR P               </t>
  </si>
  <si>
    <t xml:space="preserve">WL75 YFC DOOR P               </t>
  </si>
  <si>
    <t>***</t>
  </si>
  <si>
    <t>VERSION CREADA EN ENGINEERING</t>
  </si>
  <si>
    <t>REEMPLAZADAS POR CAMBIO DE PIEL</t>
  </si>
  <si>
    <t>ESPACIO_01</t>
  </si>
  <si>
    <t>CLIENTE_01</t>
  </si>
  <si>
    <t>S_PROGRAM</t>
  </si>
  <si>
    <t>MODELNO</t>
  </si>
  <si>
    <t>VERSIONNO</t>
  </si>
  <si>
    <t>K_QUOTE_TRIM_LEVEL</t>
  </si>
  <si>
    <t>K_QUOTE_TRIM_COLOR</t>
  </si>
  <si>
    <t>S_COLOR</t>
  </si>
  <si>
    <t>D_COLOR_1</t>
  </si>
  <si>
    <t>D_COLOR_2</t>
  </si>
  <si>
    <t>YIELD</t>
  </si>
  <si>
    <t>YIELD_ADITIONAL</t>
  </si>
  <si>
    <t>QUOTE_DATE</t>
  </si>
  <si>
    <t>PCN</t>
  </si>
  <si>
    <t>VPY</t>
  </si>
  <si>
    <t>VPW</t>
  </si>
  <si>
    <t>VPD</t>
  </si>
  <si>
    <t>D_LEATHER</t>
  </si>
  <si>
    <t>CRUST_COST</t>
  </si>
  <si>
    <t>CUTTING_COST</t>
  </si>
  <si>
    <t>SHRINK_COST</t>
  </si>
  <si>
    <t>DENIM_RESISTANCE_COST</t>
  </si>
  <si>
    <t>FINISHING_COST</t>
  </si>
  <si>
    <t>TOTAL_COST_DRIVERS</t>
  </si>
  <si>
    <t>TOTAL_PATTERN</t>
  </si>
  <si>
    <t>TOTAL_NET_AREA</t>
  </si>
  <si>
    <t>TOTAL_GRO_AREA</t>
  </si>
  <si>
    <t>TOTAL_CAR_SET_PRICE</t>
  </si>
  <si>
    <t>TOTAL_CAR_SET_PRICE_PLM</t>
  </si>
  <si>
    <t>D_LAMINATION</t>
  </si>
  <si>
    <t>D_PERFORATION</t>
  </si>
  <si>
    <t>SPECIAL_PROCESS</t>
  </si>
  <si>
    <t>CANTIDAD_PATTERNS_LAMINADOS</t>
  </si>
  <si>
    <t>AREA_NET_LAMINADOS</t>
  </si>
  <si>
    <t>CANTIDAD_PATTERNS_PERFORADOS</t>
  </si>
  <si>
    <t>AREA_NET_PERFORADOS</t>
  </si>
  <si>
    <t>MENSAJE</t>
  </si>
  <si>
    <t>FDNPDX9</t>
  </si>
  <si>
    <t>NAPPA DX9 (BLACK)</t>
  </si>
  <si>
    <t>BLACK</t>
  </si>
  <si>
    <t>NAPPA</t>
  </si>
  <si>
    <t>FDNPJRR</t>
  </si>
  <si>
    <t>NAPPA JRR (RADAR RED)</t>
  </si>
  <si>
    <t>RADAR RED</t>
  </si>
  <si>
    <t>FDNPWU9</t>
  </si>
  <si>
    <t>NAPPA WU9 (EBONY RED)</t>
  </si>
  <si>
    <t>EBONY RED</t>
  </si>
  <si>
    <t>FYPATX7</t>
  </si>
  <si>
    <t>PALERMO CHROME FREE TX7 (GLOBAL BLACK)</t>
  </si>
  <si>
    <t>GLOBAL BLACK</t>
  </si>
  <si>
    <t>PALERMO</t>
  </si>
  <si>
    <t>FYPAWT5</t>
  </si>
  <si>
    <t>PALERMO CHROME FREE WT5 (TUPELO)</t>
  </si>
  <si>
    <t>TUPELO</t>
  </si>
  <si>
    <t>FVCCAD4</t>
  </si>
  <si>
    <t>VINYL CAPRICE-SD4 (CTN3120HD -DDT BLACK FABRIC CAPRICE SD4)</t>
  </si>
  <si>
    <t>CTN3120HD -DDT BLACK FABRIC CAPRICE SD4</t>
  </si>
  <si>
    <t>VINYL CAPRICE</t>
  </si>
  <si>
    <t xml:space="preserve"> FXI A200060EL 6MM FOAM // LAMINATION</t>
  </si>
  <si>
    <t xml:space="preserve"> REGISTERED PERFORATION</t>
  </si>
  <si>
    <t xml:space="preserve"> RECUT</t>
  </si>
  <si>
    <t>FVCCAX7</t>
  </si>
  <si>
    <t>VINYL CAPRICE-TX7 (CTN3117HD BLACK FABRIC CAPRICE TX7)</t>
  </si>
  <si>
    <t>CTN3117HD BLACK FABRIC CAPRICE TX7</t>
  </si>
  <si>
    <t>FVCCPD4</t>
  </si>
  <si>
    <t>VINYL CAPRI-SD4 (CTN3120HD-DDT BLACK FABRIC CAPRI SD4)</t>
  </si>
  <si>
    <t>CTN3120HD-DDT BLACK FABRIC CAPRI SD4</t>
  </si>
  <si>
    <t>VINYL CAPRI</t>
  </si>
  <si>
    <t>FVCCPX7</t>
  </si>
  <si>
    <t>VINYL CAPRI-TX7 (CTN3117HD BLACK FABRIC CAPRI - TX7)</t>
  </si>
  <si>
    <t>CTN3117HD BLACK FABRIC CAPRI - TX7</t>
  </si>
  <si>
    <t>FWSPAA6</t>
  </si>
  <si>
    <t>PALERMO WA6 (AGAVE)</t>
  </si>
  <si>
    <t>AGAVE</t>
  </si>
  <si>
    <t xml:space="preserve"> KUFNER R179G46 // KUFNER TX9080</t>
  </si>
  <si>
    <t xml:space="preserve"> AXIS II // REGISTERED</t>
  </si>
  <si>
    <t xml:space="preserve"> RECUT // QUILTING COST PER PIECE</t>
  </si>
  <si>
    <t>FWSPAD4</t>
  </si>
  <si>
    <t>PALERMO SD4 (SEA SALT)</t>
  </si>
  <si>
    <t>SEA SALT</t>
  </si>
  <si>
    <t>FWSPAX7</t>
  </si>
  <si>
    <t>PALERMO TX7 (GLOBAL BLACK)</t>
  </si>
  <si>
    <t>FWSCPD4</t>
  </si>
  <si>
    <t>CAPRI SD4 (SEA SALT)</t>
  </si>
  <si>
    <t>CAPRI</t>
  </si>
  <si>
    <t xml:space="preserve"> KUFNER TX9080</t>
  </si>
  <si>
    <t xml:space="preserve"> AXIS II  // REGISTERED PERFORATION</t>
  </si>
  <si>
    <t>FWSCPX7</t>
  </si>
  <si>
    <t>CAPRI TX7 (GLOBAL BLACK)</t>
  </si>
  <si>
    <t>FVSBWA6</t>
  </si>
  <si>
    <t>SICILY GRAIN-WA6 (HEAVY WEIGHT PU WITH SICILY GRAIN - WA6)</t>
  </si>
  <si>
    <t>HEAVY WEIGHT PU WITH SICILY GRAIN - WA6</t>
  </si>
  <si>
    <t>VINYL SICILY GRAN</t>
  </si>
  <si>
    <t>FVSVTX7</t>
  </si>
  <si>
    <t>SICILY GRAIN-TX7 (HEAVY WEIGHT PU WITH SICILY GRAIN-TX7)</t>
  </si>
  <si>
    <t>HEAVY WEIGHT PU WITH SICILY GRAIN-TX7</t>
  </si>
  <si>
    <t>FVSXSD4</t>
  </si>
  <si>
    <t>SICILY GRAIN-SD4 (HEAVY WEIGTH PU WITH SICILY GRAIN - SD4)</t>
  </si>
  <si>
    <t>HEAVY WEIGTH PU WITH SICILY GRAIN - SD4</t>
  </si>
  <si>
    <t xml:space="preserve"> FXI A200060EL FOAM // LAMINATION</t>
  </si>
  <si>
    <t xml:space="preserve"> RECUT // QUILTING</t>
  </si>
  <si>
    <t>FVSBWT5</t>
  </si>
  <si>
    <t>SICILY GRAIN-WT5 (HEAVY WEIGHT PU WITH SICILY GRAIN - WT5)</t>
  </si>
  <si>
    <t>HEAVY WEIGHT PU WITH SICILY GRAIN - WT5</t>
  </si>
  <si>
    <t xml:space="preserve"> REGISTERED PERF // AXIS II PERFORATION</t>
  </si>
  <si>
    <t xml:space="preserve"> SKIVING 1.0 ± 0.1 MM // RECUT // QUILTING // FXI: CLIMATEFLOW 250 – 6MM</t>
  </si>
  <si>
    <t>FWSPAT5</t>
  </si>
  <si>
    <t>PALERMO WT5 (TUPELO)</t>
  </si>
  <si>
    <t>FGMPAA6</t>
  </si>
  <si>
    <t>PALERMO  WA6 (AGAVE BLUE)</t>
  </si>
  <si>
    <t>AGAVE BLUE</t>
  </si>
  <si>
    <t>ECR_265</t>
  </si>
  <si>
    <t>FGMPAD4</t>
  </si>
  <si>
    <t>FGMPAT5</t>
  </si>
  <si>
    <t>FGMPAX7</t>
  </si>
  <si>
    <t>FWLCPT3</t>
  </si>
  <si>
    <t>CAPRI WT3 (WICKER BEIGE)</t>
  </si>
  <si>
    <t>WICKER BEIGE</t>
  </si>
  <si>
    <t xml:space="preserve"> MULLER 6MM 6035 // KUFNER TK 1080 </t>
  </si>
  <si>
    <t xml:space="preserve"> AXIS II</t>
  </si>
  <si>
    <t>FWLCPX7</t>
  </si>
  <si>
    <t>FWLNPA5</t>
  </si>
  <si>
    <t>NAPPA SA5 (SEAL GREY)</t>
  </si>
  <si>
    <t>SEAL GREY</t>
  </si>
  <si>
    <t xml:space="preserve"> MULLER 6MM 6035 // KUFNER TK 1080</t>
  </si>
  <si>
    <t>FWLNPX7</t>
  </si>
  <si>
    <t>NAPPA TX7 (GLOBAL BLACK)</t>
  </si>
  <si>
    <t>FWLNPT5</t>
  </si>
  <si>
    <t>NAPPA WT5 (TUPELO)</t>
  </si>
  <si>
    <t xml:space="preserve"> MULLER 6M 6035 // KUFNER TK 1080 // FOAM 6MM A173040</t>
  </si>
  <si>
    <t xml:space="preserve"> AXIS II // REGISTERED PERF</t>
  </si>
  <si>
    <t xml:space="preserve"> QUILTING</t>
  </si>
  <si>
    <t xml:space="preserve"> MULLER 6MM 6035 // KUFNER R179G46</t>
  </si>
  <si>
    <t>FWLPAX7</t>
  </si>
  <si>
    <t xml:space="preserve"> MULLER 6MM 6035 // KUFNER TK 1080 BLACK // MULLER T6126 10MM // FOAM 6MM A173040EL TB16 SCRIM</t>
  </si>
  <si>
    <t xml:space="preserve"> AXIS II // REGISTERED PERFORATION</t>
  </si>
  <si>
    <t>FWLPAT5</t>
  </si>
  <si>
    <t xml:space="preserve"> MULLER 6MM 6035 // KUFNER TK 1080 BLACK // MULLER T6126 10MM</t>
  </si>
  <si>
    <t xml:space="preserve"> MULLER 6MM 6035 // MULLER T6126 10MM // KUFNER TK 1080 BLACK</t>
  </si>
  <si>
    <t xml:space="preserve"> MULLER 6MM 6035 // KUFNER TK 1080 BLACK</t>
  </si>
  <si>
    <t>FWLROT3</t>
  </si>
  <si>
    <t>CAPRI ROMA FULL GRAIN WT3 (CAPRI WICKER BEIGE)</t>
  </si>
  <si>
    <t>CAPRI WICKER BEIGE</t>
  </si>
  <si>
    <t>FWLROX7</t>
  </si>
  <si>
    <t>CAPRI ROMA FULL GRAIN TX7 (GLOBAL BLACK)</t>
  </si>
  <si>
    <t xml:space="preserve"> MULLER 6MM 6035 // KUFNER TK 1080 // MULLER T6126 10MM // FOAM 6MM A173040</t>
  </si>
  <si>
    <t xml:space="preserve"> MULLER 6MM 6035 // KUFNER TK 1080 BLACK // FOAM 6MM A173040</t>
  </si>
  <si>
    <t xml:space="preserve"> REGISTERED - PERF // AXIS II</t>
  </si>
  <si>
    <t xml:space="preserve"> MULLER 6MM 6035</t>
  </si>
  <si>
    <t xml:space="preserve"> KUFNER TK 1080 BLACK // MULLER 6MM 6035</t>
  </si>
  <si>
    <t xml:space="preserve"> AXIS II // REG. PERF COST</t>
  </si>
  <si>
    <t>FNRULK5</t>
  </si>
  <si>
    <t>CHRYSLER NAPPA RU LK5 (CARAMEL)</t>
  </si>
  <si>
    <t>CARAMEL</t>
  </si>
  <si>
    <t xml:space="preserve"> FOAM</t>
  </si>
  <si>
    <t xml:space="preserve"> RECUT // QUILTING FSB // QUILTING FSC</t>
  </si>
  <si>
    <t>FNRUML8</t>
  </si>
  <si>
    <t>CHRYSLER NAPPA RU ML8 (DEEP MOCHA (BROWN))</t>
  </si>
  <si>
    <t>DEEP MOCHA (BROWN)</t>
  </si>
  <si>
    <t xml:space="preserve"> R179G46</t>
  </si>
  <si>
    <t xml:space="preserve"> PERFORATION // REGISTERED PERF</t>
  </si>
  <si>
    <t>FNRUPD2</t>
  </si>
  <si>
    <t>CHRYSLER NAPPA AL RU PD2 (RU AL PD2)</t>
  </si>
  <si>
    <t>RU AL PD2</t>
  </si>
  <si>
    <t>FNRUVEV</t>
  </si>
  <si>
    <t>CHRYSLER RU NAPPA VEV (RODEO RED)</t>
  </si>
  <si>
    <t>RODEO RED</t>
  </si>
  <si>
    <t>FNRUDX9</t>
  </si>
  <si>
    <t>CHRYSLER NAPPA RU DX9 (BLACK)</t>
  </si>
  <si>
    <t>FMCKDX9</t>
  </si>
  <si>
    <t>CHRYSLER MCKINLEY DX9 (BLACK)</t>
  </si>
  <si>
    <t>MCKINLEY</t>
  </si>
  <si>
    <t xml:space="preserve"> PERFORATION</t>
  </si>
  <si>
    <t>FMCKPD2</t>
  </si>
  <si>
    <t>CHRYSLER MCKINLEY PD2 (ALLOY (LT GREY))</t>
  </si>
  <si>
    <t>ALLOY (LT GREY)</t>
  </si>
  <si>
    <t>FCNPDX9</t>
  </si>
  <si>
    <t>CHRYSLER NAPPA DX9 (BLACK)</t>
  </si>
  <si>
    <t xml:space="preserve"> KUFNER 179G46</t>
  </si>
  <si>
    <t xml:space="preserve"> PERFOTATION AXIS II</t>
  </si>
  <si>
    <t xml:space="preserve"> TK1080</t>
  </si>
  <si>
    <t>FCNPJRR</t>
  </si>
  <si>
    <t>CHRYSLER NAPPA JRR (RADAR RED)</t>
  </si>
  <si>
    <t>FCNPLV5</t>
  </si>
  <si>
    <t>CHRYSLER NAPPA LV5 (SEPIA)</t>
  </si>
  <si>
    <t>SEPIA</t>
  </si>
  <si>
    <t>FCNPWA3</t>
  </si>
  <si>
    <t>CHRYSLER NAPPA WA3 (VITRA GREY)</t>
  </si>
  <si>
    <t>VITRA GREY</t>
  </si>
  <si>
    <t>FCNPPS4</t>
  </si>
  <si>
    <t>NAPPA SKI GRAY PS4 (CHRYSLER NAPPA PS4)</t>
  </si>
  <si>
    <t>CHRYSLER NAPPA PS4</t>
  </si>
  <si>
    <t>FCN2DX9</t>
  </si>
  <si>
    <t>NAPPA LAGUNA BLACK DX9 (CHRYSLER NAPPA DX9)</t>
  </si>
  <si>
    <t>CHRYSLER NAPPA DX9</t>
  </si>
  <si>
    <t xml:space="preserve"> KUFNER R179G46150</t>
  </si>
  <si>
    <t>FCNPHL1</t>
  </si>
  <si>
    <t>CHRYSLER NAPPA HL1 (FROST BEIGE)</t>
  </si>
  <si>
    <t>FROST BEIGE</t>
  </si>
  <si>
    <t>FCNPLT5</t>
  </si>
  <si>
    <t>CHRYSLER NAPPA LT5 (CATTLE TAN)</t>
  </si>
  <si>
    <t>CATTLE TAN</t>
  </si>
  <si>
    <t>FCNPLU5</t>
  </si>
  <si>
    <t>CHRYSLER NAPPA LU5 (JEEP BROWN)</t>
  </si>
  <si>
    <t>JEEP BROWN</t>
  </si>
  <si>
    <t>FCPRDX9</t>
  </si>
  <si>
    <t>CAPRI BLACK DX9 (MAGNA CHRYSLER)</t>
  </si>
  <si>
    <t>MAGNA CHRYSLER</t>
  </si>
  <si>
    <t>FCPRHL1</t>
  </si>
  <si>
    <t>CAPRI F.BEIGE HL1 (MAGNA CHRYSLER)</t>
  </si>
  <si>
    <t>FCPRSA5</t>
  </si>
  <si>
    <t>CAPRI GREY SA5 (MAGNA CHRYSLER)</t>
  </si>
  <si>
    <t xml:space="preserve"> KUFNER R179G46</t>
  </si>
  <si>
    <t>F5531TC</t>
  </si>
  <si>
    <t>U553 VINYL 1TC (MED STONE)</t>
  </si>
  <si>
    <t>MED STONE</t>
  </si>
  <si>
    <t xml:space="preserve"> T6035 MULLER 6MM</t>
  </si>
  <si>
    <t xml:space="preserve"> LAMIN 3 MM FOAM NO SCRIM</t>
  </si>
  <si>
    <t xml:space="preserve"> SKIVING 1.0 ± 0.1 MM</t>
  </si>
  <si>
    <t>FCNPWU9</t>
  </si>
  <si>
    <t xml:space="preserve"> FOAM 3.1 // FOAM 2.5</t>
  </si>
  <si>
    <t xml:space="preserve"> SKIVING 1.0 ± 0.1 MM // RECUT</t>
  </si>
  <si>
    <t xml:space="preserve"> FOAM 3.1 MM // FOAM 2.5 MM</t>
  </si>
  <si>
    <t xml:space="preserve"> FOAM 3.1 MM // FOAM 2.5 MM </t>
  </si>
  <si>
    <t>NO ESTA EN COTIZACIONES ES DEL 2017</t>
  </si>
  <si>
    <t>NO ESTA EN COTIZACIONES ES DEL 2013</t>
  </si>
  <si>
    <t>NO ESTA EN COTIZACIONES ES DEL 2018</t>
  </si>
  <si>
    <t>NO SE HA DADO DE ALTA EN COTIZACIONES YA ESTA EL MODELO</t>
  </si>
  <si>
    <t>ES MODELO DEL 2017</t>
  </si>
  <si>
    <t>NO ESTA EN COTIZACIONES ES DEL 2016</t>
  </si>
  <si>
    <t>OBSOLETO</t>
  </si>
  <si>
    <t>REEMPLAZADO POR EL WKJ</t>
  </si>
  <si>
    <t>OK, PENDIENTE DAR EL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</si>
</sst>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5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14" fontId="0" fillId="0" borderId="0" xfId="0" applyNumberFormat="1"/>
    <xf numFmtId="0" fontId="0" fillId="4" borderId="0" xfId="0" applyFill="1"/>
    <xf numFmtId="0" fontId="3" fillId="2" borderId="0" xfId="1"/>
    <xf numFmtId="0" fontId="4" fillId="3" borderId="0" xfId="2"/>
    <xf numFmtId="14" fontId="0" fillId="0" borderId="0" xfId="0" applyNumberFormat="1" applyFill="1"/>
    <xf numFmtId="0" fontId="3" fillId="4" borderId="0" xfId="1" applyFill="1"/>
    <xf numFmtId="0" fontId="5" fillId="5" borderId="0" xfId="3"/>
  </cellXfs>
  <cellStyles count="4">
    <cellStyle name="Bueno" xfId="3" builtinId="26"/>
    <cellStyle name="Incorrecto" xfId="1" builtinId="27"/>
    <cellStyle name="Neutral" xfId="2" builtinId="2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129-C584-402D-B8BD-14D8404319E8}">
  <dimension ref="A5:L159"/>
  <sheetViews>
    <sheetView workbookViewId="0">
      <selection activeCell="H7" sqref="H7"/>
    </sheetView>
  </sheetViews>
  <sheetFormatPr baseColWidth="10" defaultRowHeight="12.75" x14ac:dyDescent="0.2"/>
  <cols>
    <col min="3" max="3" width="12.7109375" style="1" customWidth="1"/>
    <col min="4" max="4" width="22.85546875" style="1" bestFit="1" customWidth="1"/>
    <col min="5" max="5" width="42.140625" customWidth="1"/>
    <col min="6" max="6" width="14.42578125" style="2" bestFit="1" customWidth="1"/>
    <col min="7" max="7" width="48.28515625" style="2" bestFit="1" customWidth="1"/>
    <col min="8" max="8" width="33.5703125" style="2" bestFit="1" customWidth="1"/>
    <col min="9" max="9" width="15.7109375" style="2" customWidth="1"/>
    <col min="12" max="12" width="12.5703125" style="1" bestFit="1" customWidth="1"/>
  </cols>
  <sheetData>
    <row r="5" spans="1:10" x14ac:dyDescent="0.2">
      <c r="A5" t="s">
        <v>312</v>
      </c>
      <c r="B5" s="1" t="s">
        <v>311</v>
      </c>
      <c r="C5" s="1" t="s">
        <v>310</v>
      </c>
      <c r="D5" s="1" t="s">
        <v>321</v>
      </c>
      <c r="E5" t="s">
        <v>309</v>
      </c>
      <c r="F5" s="2" t="s">
        <v>308</v>
      </c>
      <c r="H5" t="s">
        <v>322</v>
      </c>
      <c r="I5"/>
    </row>
    <row r="6" spans="1:10" x14ac:dyDescent="0.2">
      <c r="A6">
        <v>1</v>
      </c>
      <c r="B6" s="1">
        <v>46</v>
      </c>
      <c r="C6" s="1" t="s">
        <v>307</v>
      </c>
      <c r="D6" s="1" t="s">
        <v>305</v>
      </c>
      <c r="E6" t="s">
        <v>306</v>
      </c>
      <c r="F6" s="1">
        <v>46</v>
      </c>
      <c r="G6" s="2" t="s">
        <v>323</v>
      </c>
      <c r="H6" s="2" t="str">
        <f>_xlfn.CONCAT(G6,"'",D6,"'",$H$5,"'",TRIM(E6),"'",$H$5,F6)</f>
        <v>EXECUTE [dbo].[PG_CI_ARCUSFIL_PROGRAM]  0, 0, 'WD7','2021 WL DL 75 VPD',46</v>
      </c>
      <c r="I6" s="3"/>
      <c r="J6" s="3"/>
    </row>
    <row r="7" spans="1:10" x14ac:dyDescent="0.2">
      <c r="A7">
        <v>2</v>
      </c>
      <c r="B7" s="1">
        <v>1</v>
      </c>
      <c r="C7" s="1" t="s">
        <v>304</v>
      </c>
      <c r="D7" s="1" t="s">
        <v>302</v>
      </c>
      <c r="E7" t="s">
        <v>303</v>
      </c>
      <c r="F7" s="1">
        <v>1</v>
      </c>
      <c r="G7" s="2" t="s">
        <v>323</v>
      </c>
      <c r="H7" s="2" t="str">
        <f t="shared" ref="H7:H70" si="0">_xlfn.CONCAT(G7,"'",D7,"'",$H$5,"'",TRIM(E7),"'",$H$5,F7)</f>
        <v>EXECUTE [dbo].[PG_CI_ARCUSFIL_PROGRAM]  0, 0, '77H','U377 FORD HEADREST',1</v>
      </c>
      <c r="I7" s="3"/>
    </row>
    <row r="8" spans="1:10" x14ac:dyDescent="0.2">
      <c r="A8">
        <v>3</v>
      </c>
      <c r="B8" s="1">
        <v>56</v>
      </c>
      <c r="C8" s="1" t="s">
        <v>301</v>
      </c>
      <c r="D8" s="1" t="s">
        <v>299</v>
      </c>
      <c r="E8" t="s">
        <v>300</v>
      </c>
      <c r="F8" s="1">
        <v>56</v>
      </c>
      <c r="G8" s="2" t="s">
        <v>323</v>
      </c>
      <c r="H8" s="2" t="str">
        <f t="shared" si="0"/>
        <v>EXECUTE [dbo].[PG_CI_ARCUSFIL_PROGRAM]  0, 0, 'WDK','2021 WK WD 2ND ROW ARMREST',56</v>
      </c>
      <c r="I8" s="3"/>
      <c r="J8" s="3"/>
    </row>
    <row r="9" spans="1:10" x14ac:dyDescent="0.2">
      <c r="A9">
        <v>4</v>
      </c>
      <c r="B9" s="1">
        <v>57</v>
      </c>
      <c r="C9" s="1" t="s">
        <v>298</v>
      </c>
      <c r="D9" s="1" t="s">
        <v>296</v>
      </c>
      <c r="E9" t="s">
        <v>297</v>
      </c>
      <c r="F9" s="1">
        <v>57</v>
      </c>
      <c r="G9" s="2" t="s">
        <v>323</v>
      </c>
      <c r="H9" s="2" t="str">
        <f t="shared" si="0"/>
        <v>EXECUTE [dbo].[PG_CI_ARCUSFIL_PROGRAM]  0, 0, 'WLE','2021 WL EISMANN',57</v>
      </c>
      <c r="I9" s="3"/>
      <c r="J9" s="3"/>
    </row>
    <row r="10" spans="1:10" x14ac:dyDescent="0.2">
      <c r="A10">
        <v>5</v>
      </c>
      <c r="B10" s="1">
        <v>51</v>
      </c>
      <c r="C10" s="1" t="s">
        <v>283</v>
      </c>
      <c r="D10" s="1" t="s">
        <v>294</v>
      </c>
      <c r="E10" t="s">
        <v>295</v>
      </c>
      <c r="F10" s="1">
        <v>51</v>
      </c>
      <c r="G10" s="2" t="s">
        <v>323</v>
      </c>
      <c r="H10" s="2" t="str">
        <f t="shared" si="0"/>
        <v>EXECUTE [dbo].[PG_CI_ARCUSFIL_PROGRAM]  0, 0, 'C3A','2021 WS BL-GL EEP 3RD ROW',51</v>
      </c>
      <c r="I10" s="3"/>
    </row>
    <row r="11" spans="1:10" x14ac:dyDescent="0.2">
      <c r="A11">
        <v>6</v>
      </c>
      <c r="B11" s="1">
        <v>51</v>
      </c>
      <c r="C11" s="1" t="s">
        <v>283</v>
      </c>
      <c r="D11" s="1" t="s">
        <v>292</v>
      </c>
      <c r="E11" t="s">
        <v>293</v>
      </c>
      <c r="F11" s="1">
        <v>51</v>
      </c>
      <c r="G11" s="2" t="s">
        <v>323</v>
      </c>
      <c r="H11" s="2" t="str">
        <f t="shared" si="0"/>
        <v>EXECUTE [dbo].[PG_CI_ARCUSFIL_PROGRAM]  0, 0, 'C3B','2021 WS AL JEEP 3RD ROW',51</v>
      </c>
      <c r="I11" s="3"/>
    </row>
    <row r="12" spans="1:10" x14ac:dyDescent="0.2">
      <c r="A12">
        <v>7</v>
      </c>
      <c r="B12" s="1">
        <v>51</v>
      </c>
      <c r="C12" s="1" t="s">
        <v>283</v>
      </c>
      <c r="D12" s="1" t="s">
        <v>290</v>
      </c>
      <c r="E12" t="s">
        <v>291</v>
      </c>
      <c r="F12" s="1">
        <v>51</v>
      </c>
      <c r="G12" s="2" t="s">
        <v>323</v>
      </c>
      <c r="H12" s="2" t="str">
        <f t="shared" si="0"/>
        <v>EXECUTE [dbo].[PG_CI_ARCUSFIL_PROGRAM]  0, 0, 'FW2','2021 WS JEEP SL NEVER QUILTED',51</v>
      </c>
      <c r="I12" s="3"/>
    </row>
    <row r="13" spans="1:10" x14ac:dyDescent="0.2">
      <c r="A13">
        <v>8</v>
      </c>
      <c r="B13" s="1">
        <v>51</v>
      </c>
      <c r="C13" s="1" t="s">
        <v>283</v>
      </c>
      <c r="D13" s="1" t="s">
        <v>288</v>
      </c>
      <c r="E13" t="s">
        <v>289</v>
      </c>
      <c r="F13" s="1">
        <v>51</v>
      </c>
      <c r="G13" s="2" t="s">
        <v>323</v>
      </c>
      <c r="H13" s="2" t="str">
        <f t="shared" si="0"/>
        <v>EXECUTE [dbo].[PG_CI_ARCUSFIL_PROGRAM]  0, 0, 'FWS','2021 WS AL JEEP BASE',51</v>
      </c>
      <c r="I13" s="3"/>
    </row>
    <row r="14" spans="1:10" x14ac:dyDescent="0.2">
      <c r="A14">
        <v>9</v>
      </c>
      <c r="B14" s="1">
        <v>51</v>
      </c>
      <c r="C14" s="1" t="s">
        <v>283</v>
      </c>
      <c r="D14" s="1" t="s">
        <v>286</v>
      </c>
      <c r="E14" t="s">
        <v>287</v>
      </c>
      <c r="F14" s="1">
        <v>51</v>
      </c>
      <c r="G14" s="2" t="s">
        <v>323</v>
      </c>
      <c r="H14" s="2" t="str">
        <f t="shared" si="0"/>
        <v>EXECUTE [dbo].[PG_CI_ARCUSFIL_PROGRAM]  0, 0, 'S3S','2021 WS SL JEEP 3RD ROW',51</v>
      </c>
      <c r="I14" s="3"/>
    </row>
    <row r="15" spans="1:10" x14ac:dyDescent="0.2">
      <c r="A15">
        <v>10</v>
      </c>
      <c r="B15" s="1">
        <v>51</v>
      </c>
      <c r="C15" s="1" t="s">
        <v>283</v>
      </c>
      <c r="D15" s="1" t="s">
        <v>284</v>
      </c>
      <c r="E15" t="s">
        <v>285</v>
      </c>
      <c r="F15" s="1">
        <v>51</v>
      </c>
      <c r="G15" s="2" t="s">
        <v>323</v>
      </c>
      <c r="H15" s="2" t="str">
        <f t="shared" si="0"/>
        <v>EXECUTE [dbo].[PG_CI_ARCUSFIL_PROGRAM]  0, 0, 'S3U','2021 WS UL JEEP 3RD ROW',51</v>
      </c>
      <c r="I15" s="3"/>
    </row>
    <row r="16" spans="1:10" x14ac:dyDescent="0.2">
      <c r="A16">
        <v>11</v>
      </c>
      <c r="B16" s="1">
        <v>51</v>
      </c>
      <c r="C16" s="1" t="s">
        <v>283</v>
      </c>
      <c r="D16" s="1" t="s">
        <v>281</v>
      </c>
      <c r="E16" t="s">
        <v>282</v>
      </c>
      <c r="F16" s="1">
        <v>51</v>
      </c>
      <c r="G16" s="2" t="s">
        <v>323</v>
      </c>
      <c r="H16" s="2" t="str">
        <f t="shared" si="0"/>
        <v>EXECUTE [dbo].[PG_CI_ARCUSFIL_PROGRAM]  0, 0, 'WS3','2021 WS UL ALWAYS QUILTED',51</v>
      </c>
      <c r="I16" s="3"/>
      <c r="J16" s="3"/>
    </row>
    <row r="17" spans="1:10" x14ac:dyDescent="0.2">
      <c r="A17">
        <v>12</v>
      </c>
      <c r="B17" s="1">
        <v>5</v>
      </c>
      <c r="C17" s="1" t="s">
        <v>280</v>
      </c>
      <c r="D17" s="1" t="s">
        <v>278</v>
      </c>
      <c r="E17" t="s">
        <v>279</v>
      </c>
      <c r="F17" s="1">
        <v>5</v>
      </c>
      <c r="G17" s="2" t="s">
        <v>323</v>
      </c>
      <c r="H17" s="2" t="str">
        <f t="shared" si="0"/>
        <v>EXECUTE [dbo].[PG_CI_ARCUSFIL_PROGRAM]  0, 0, 'MCY','U364 MERCURY LTD FINDALY',5</v>
      </c>
      <c r="J17" s="2"/>
    </row>
    <row r="18" spans="1:10" x14ac:dyDescent="0.2">
      <c r="A18">
        <v>13</v>
      </c>
      <c r="B18" s="1">
        <v>40</v>
      </c>
      <c r="C18" s="1" t="s">
        <v>277</v>
      </c>
      <c r="D18" s="1" t="s">
        <v>276</v>
      </c>
      <c r="E18" t="s">
        <v>267</v>
      </c>
      <c r="F18" s="1">
        <v>40</v>
      </c>
      <c r="G18" s="2" t="s">
        <v>323</v>
      </c>
      <c r="H18" s="2" t="str">
        <f t="shared" si="0"/>
        <v>EXECUTE [dbo].[PG_CI_ARCUSFIL_PROGRAM]  0, 0, 'GAR','U388 LINCOLN ARMREST',40</v>
      </c>
      <c r="I18" s="3"/>
      <c r="J18" s="2"/>
    </row>
    <row r="19" spans="1:10" x14ac:dyDescent="0.2">
      <c r="A19">
        <v>14</v>
      </c>
      <c r="B19" s="1">
        <v>54</v>
      </c>
      <c r="C19" s="1" t="s">
        <v>273</v>
      </c>
      <c r="D19" s="1" t="s">
        <v>313</v>
      </c>
      <c r="E19" t="s">
        <v>317</v>
      </c>
      <c r="F19" s="1">
        <v>54</v>
      </c>
      <c r="G19" s="2" t="s">
        <v>323</v>
      </c>
      <c r="H19" s="2" t="str">
        <f t="shared" si="0"/>
        <v>EXECUTE [dbo].[PG_CI_ARCUSFIL_PROGRAM]  0, 0, 'GR1','2021 WL 75 QUADS 2ND. ROW ARMR',54</v>
      </c>
      <c r="I19" s="3"/>
      <c r="J19" s="3"/>
    </row>
    <row r="20" spans="1:10" x14ac:dyDescent="0.2">
      <c r="A20">
        <v>15</v>
      </c>
      <c r="B20" s="1">
        <v>54</v>
      </c>
      <c r="C20" s="1" t="s">
        <v>273</v>
      </c>
      <c r="D20" s="1" t="s">
        <v>314</v>
      </c>
      <c r="E20" t="s">
        <v>318</v>
      </c>
      <c r="F20" s="1">
        <v>54</v>
      </c>
      <c r="G20" s="2" t="s">
        <v>323</v>
      </c>
      <c r="H20" s="2" t="str">
        <f t="shared" si="0"/>
        <v>EXECUTE [dbo].[PG_CI_ARCUSFIL_PROGRAM]  0, 0, 'GR2','WS FOLDING 2ND-ROW ARM REST',54</v>
      </c>
      <c r="I20" s="3"/>
      <c r="J20" s="3"/>
    </row>
    <row r="21" spans="1:10" x14ac:dyDescent="0.2">
      <c r="A21">
        <v>16</v>
      </c>
      <c r="B21" s="1">
        <v>54</v>
      </c>
      <c r="C21" s="1" t="s">
        <v>273</v>
      </c>
      <c r="D21" s="1" t="s">
        <v>315</v>
      </c>
      <c r="E21" t="s">
        <v>319</v>
      </c>
      <c r="F21" s="1">
        <v>54</v>
      </c>
      <c r="G21" s="2" t="s">
        <v>323</v>
      </c>
      <c r="H21" s="2" t="str">
        <f t="shared" si="0"/>
        <v>EXECUTE [dbo].[PG_CI_ARCUSFIL_PROGRAM]  0, 0, 'GRM','2021 WL 74/75 2ND. ROW ARMREST',54</v>
      </c>
      <c r="I21" s="3"/>
      <c r="J21" s="3"/>
    </row>
    <row r="22" spans="1:10" x14ac:dyDescent="0.2">
      <c r="A22">
        <v>17</v>
      </c>
      <c r="B22" s="1">
        <v>54</v>
      </c>
      <c r="C22" s="1" t="s">
        <v>273</v>
      </c>
      <c r="D22" s="1" t="s">
        <v>274</v>
      </c>
      <c r="E22" t="s">
        <v>275</v>
      </c>
      <c r="F22" s="1">
        <v>54</v>
      </c>
      <c r="G22" s="2" t="s">
        <v>323</v>
      </c>
      <c r="H22" s="2" t="str">
        <f t="shared" si="0"/>
        <v>EXECUTE [dbo].[PG_CI_ARCUSFIL_PROGRAM]  0, 0, 'GW2','2021 WL 75 QUADS 2ND. ROW AR',54</v>
      </c>
      <c r="I22" s="3"/>
      <c r="J22" s="2"/>
    </row>
    <row r="23" spans="1:10" x14ac:dyDescent="0.2">
      <c r="A23">
        <v>18</v>
      </c>
      <c r="B23" s="1">
        <v>54</v>
      </c>
      <c r="C23" s="1" t="s">
        <v>273</v>
      </c>
      <c r="D23" s="1" t="s">
        <v>271</v>
      </c>
      <c r="E23" t="s">
        <v>272</v>
      </c>
      <c r="F23" s="1">
        <v>54</v>
      </c>
      <c r="G23" s="2" t="s">
        <v>323</v>
      </c>
      <c r="H23" s="2" t="str">
        <f t="shared" si="0"/>
        <v>EXECUTE [dbo].[PG_CI_ARCUSFIL_PROGRAM]  0, 0, 'GWL','2021 WL 74/75 2ND. ROW ARMRE',54</v>
      </c>
      <c r="I23" s="3"/>
      <c r="J23" s="2"/>
    </row>
    <row r="24" spans="1:10" x14ac:dyDescent="0.2">
      <c r="A24">
        <v>19</v>
      </c>
      <c r="B24" s="1">
        <v>54</v>
      </c>
      <c r="C24" s="1" t="s">
        <v>273</v>
      </c>
      <c r="D24" s="1" t="s">
        <v>316</v>
      </c>
      <c r="E24" t="s">
        <v>320</v>
      </c>
      <c r="F24" s="1">
        <v>54</v>
      </c>
      <c r="G24" s="2" t="s">
        <v>323</v>
      </c>
      <c r="H24" s="2" t="str">
        <f t="shared" si="0"/>
        <v>EXECUTE [dbo].[PG_CI_ARCUSFIL_PROGRAM]  0, 0, 'GWS','2021 WS GRAN WAGONNER',54</v>
      </c>
      <c r="I24" s="3"/>
      <c r="J24" s="2"/>
    </row>
    <row r="25" spans="1:10" x14ac:dyDescent="0.2">
      <c r="A25">
        <v>20</v>
      </c>
      <c r="B25" s="1">
        <v>7</v>
      </c>
      <c r="C25" s="1" t="s">
        <v>235</v>
      </c>
      <c r="D25" s="1">
        <v>193</v>
      </c>
      <c r="E25" t="s">
        <v>270</v>
      </c>
      <c r="F25" s="1">
        <v>7</v>
      </c>
      <c r="G25" s="2" t="s">
        <v>323</v>
      </c>
      <c r="H25" s="2" t="str">
        <f t="shared" si="0"/>
        <v>EXECUTE [dbo].[PG_CI_ARCUSFIL_PROGRAM]  0, 0, '193','GMT 193 2007',7</v>
      </c>
      <c r="I25" s="3"/>
      <c r="J25" s="3"/>
    </row>
    <row r="26" spans="1:10" x14ac:dyDescent="0.2">
      <c r="A26">
        <v>21</v>
      </c>
      <c r="B26" s="1">
        <v>7</v>
      </c>
      <c r="C26" s="1" t="s">
        <v>235</v>
      </c>
      <c r="D26" s="1" t="s">
        <v>269</v>
      </c>
      <c r="E26" t="s">
        <v>99</v>
      </c>
      <c r="F26" s="1">
        <v>7</v>
      </c>
      <c r="G26" s="2" t="s">
        <v>323</v>
      </c>
      <c r="H26" s="2" t="str">
        <f t="shared" si="0"/>
        <v>EXECUTE [dbo].[PG_CI_ARCUSFIL_PROGRAM]  0, 0, '87C','U387 FORD CUTTING EDGE',7</v>
      </c>
      <c r="I26" s="3"/>
      <c r="J26" s="2"/>
    </row>
    <row r="27" spans="1:10" x14ac:dyDescent="0.2">
      <c r="A27">
        <v>22</v>
      </c>
      <c r="B27" s="1">
        <v>7</v>
      </c>
      <c r="C27" s="1" t="s">
        <v>235</v>
      </c>
      <c r="D27" s="1" t="s">
        <v>268</v>
      </c>
      <c r="E27" t="s">
        <v>102</v>
      </c>
      <c r="F27" s="1">
        <v>7</v>
      </c>
      <c r="G27" s="2" t="s">
        <v>323</v>
      </c>
      <c r="H27" s="2" t="str">
        <f t="shared" si="0"/>
        <v>EXECUTE [dbo].[PG_CI_ARCUSFIL_PROGRAM]  0, 0, '87P','U387 FORD PREMIUM',7</v>
      </c>
      <c r="J27" s="2"/>
    </row>
    <row r="28" spans="1:10" x14ac:dyDescent="0.2">
      <c r="A28">
        <v>23</v>
      </c>
      <c r="B28" s="1">
        <v>7</v>
      </c>
      <c r="C28" s="1" t="s">
        <v>235</v>
      </c>
      <c r="D28" s="1" t="s">
        <v>266</v>
      </c>
      <c r="E28" t="s">
        <v>267</v>
      </c>
      <c r="F28" s="1">
        <v>7</v>
      </c>
      <c r="G28" s="2" t="s">
        <v>323</v>
      </c>
      <c r="H28" s="2" t="str">
        <f t="shared" si="0"/>
        <v>EXECUTE [dbo].[PG_CI_ARCUSFIL_PROGRAM]  0, 0, '88A','U388 LINCOLN ARMREST',7</v>
      </c>
      <c r="J28" s="2"/>
    </row>
    <row r="29" spans="1:10" x14ac:dyDescent="0.2">
      <c r="A29">
        <v>24</v>
      </c>
      <c r="B29" s="1">
        <v>7</v>
      </c>
      <c r="C29" s="1" t="s">
        <v>235</v>
      </c>
      <c r="D29" s="1" t="s">
        <v>265</v>
      </c>
      <c r="E29" t="s">
        <v>20</v>
      </c>
      <c r="F29" s="1">
        <v>7</v>
      </c>
      <c r="G29" s="2" t="s">
        <v>323</v>
      </c>
      <c r="H29" s="2" t="str">
        <f t="shared" si="0"/>
        <v>EXECUTE [dbo].[PG_CI_ARCUSFIL_PROGRAM]  0, 0, '88H','U388 HEADREST',7</v>
      </c>
      <c r="I29" s="3"/>
      <c r="J29" s="3"/>
    </row>
    <row r="30" spans="1:10" x14ac:dyDescent="0.2">
      <c r="A30">
        <v>25</v>
      </c>
      <c r="B30" s="1">
        <v>7</v>
      </c>
      <c r="C30" s="1" t="s">
        <v>235</v>
      </c>
      <c r="D30" s="1" t="s">
        <v>264</v>
      </c>
      <c r="E30" t="s">
        <v>95</v>
      </c>
      <c r="F30" s="1">
        <v>7</v>
      </c>
      <c r="G30" s="2" t="s">
        <v>323</v>
      </c>
      <c r="H30" s="2" t="str">
        <f t="shared" si="0"/>
        <v>EXECUTE [dbo].[PG_CI_ARCUSFIL_PROGRAM]  0, 0, '88L','U388 LINCOLN LIMITED',7</v>
      </c>
      <c r="I30" s="3"/>
      <c r="J30" s="3"/>
    </row>
    <row r="31" spans="1:10" x14ac:dyDescent="0.2">
      <c r="A31">
        <v>26</v>
      </c>
      <c r="B31" s="1">
        <v>7</v>
      </c>
      <c r="C31" s="1" t="s">
        <v>235</v>
      </c>
      <c r="D31" s="1" t="s">
        <v>262</v>
      </c>
      <c r="E31" t="s">
        <v>263</v>
      </c>
      <c r="F31" s="1">
        <v>7</v>
      </c>
      <c r="G31" s="2" t="s">
        <v>323</v>
      </c>
      <c r="H31" s="2" t="str">
        <f t="shared" si="0"/>
        <v>EXECUTE [dbo].[PG_CI_ARCUSFIL_PROGRAM]  0, 0, 'GM1','GMT 191 PONTIAC TORRENT',7</v>
      </c>
      <c r="I31" s="3"/>
      <c r="J31" s="2"/>
    </row>
    <row r="32" spans="1:10" x14ac:dyDescent="0.2">
      <c r="A32">
        <v>27</v>
      </c>
      <c r="B32" s="1">
        <v>7</v>
      </c>
      <c r="C32" s="1" t="s">
        <v>235</v>
      </c>
      <c r="D32" s="1" t="s">
        <v>260</v>
      </c>
      <c r="E32" t="s">
        <v>261</v>
      </c>
      <c r="F32" s="1">
        <v>7</v>
      </c>
      <c r="G32" s="2" t="s">
        <v>323</v>
      </c>
      <c r="H32" s="2" t="str">
        <f t="shared" si="0"/>
        <v>EXECUTE [dbo].[PG_CI_ARCUSFIL_PROGRAM]  0, 0, 'GM2','GMT 192 PONTIAC PERSUIT',7</v>
      </c>
      <c r="I32" s="3"/>
      <c r="J32" s="2"/>
    </row>
    <row r="33" spans="1:10" x14ac:dyDescent="0.2">
      <c r="A33">
        <v>28</v>
      </c>
      <c r="B33" s="1">
        <v>7</v>
      </c>
      <c r="C33" s="1" t="s">
        <v>235</v>
      </c>
      <c r="D33" s="1" t="s">
        <v>259</v>
      </c>
      <c r="E33" t="s">
        <v>230</v>
      </c>
      <c r="F33" s="1">
        <v>7</v>
      </c>
      <c r="G33" s="2" t="s">
        <v>323</v>
      </c>
      <c r="H33" s="2" t="str">
        <f t="shared" si="0"/>
        <v>EXECUTE [dbo].[PG_CI_ARCUSFIL_PROGRAM]  0, 0, 'GM3','ARMREST GMT 193',7</v>
      </c>
      <c r="I33" s="3"/>
      <c r="J33" s="2"/>
    </row>
    <row r="34" spans="1:10" x14ac:dyDescent="0.2">
      <c r="A34">
        <v>29</v>
      </c>
      <c r="B34" s="1">
        <v>7</v>
      </c>
      <c r="C34" s="1" t="s">
        <v>235</v>
      </c>
      <c r="D34" s="1" t="s">
        <v>258</v>
      </c>
      <c r="E34" t="s">
        <v>225</v>
      </c>
      <c r="F34" s="1">
        <v>7</v>
      </c>
      <c r="G34" s="2" t="s">
        <v>323</v>
      </c>
      <c r="H34" s="2" t="str">
        <f t="shared" si="0"/>
        <v>EXECUTE [dbo].[PG_CI_ARCUSFIL_PROGRAM]  0, 0, 'GXP','GMT 192 GXP 2008',7</v>
      </c>
      <c r="I34" s="3"/>
      <c r="J34" s="2"/>
    </row>
    <row r="35" spans="1:10" x14ac:dyDescent="0.2">
      <c r="A35">
        <v>30</v>
      </c>
      <c r="B35" s="1">
        <v>7</v>
      </c>
      <c r="C35" s="1" t="s">
        <v>235</v>
      </c>
      <c r="D35" s="1" t="s">
        <v>256</v>
      </c>
      <c r="E35" t="s">
        <v>257</v>
      </c>
      <c r="F35" s="1">
        <v>7</v>
      </c>
      <c r="G35" s="2" t="s">
        <v>323</v>
      </c>
      <c r="H35" s="2" t="str">
        <f t="shared" si="0"/>
        <v>EXECUTE [dbo].[PG_CI_ARCUSFIL_PROGRAM]  0, 0, 'JJT','2019 JEEP JT',7</v>
      </c>
      <c r="I35" s="3"/>
      <c r="J35" s="2"/>
    </row>
    <row r="36" spans="1:10" x14ac:dyDescent="0.2">
      <c r="A36">
        <v>31</v>
      </c>
      <c r="B36" s="1">
        <v>7</v>
      </c>
      <c r="C36" s="1" t="s">
        <v>235</v>
      </c>
      <c r="D36" s="1" t="s">
        <v>254</v>
      </c>
      <c r="E36" t="s">
        <v>255</v>
      </c>
      <c r="F36" s="1">
        <v>7</v>
      </c>
      <c r="G36" s="2" t="s">
        <v>323</v>
      </c>
      <c r="H36" s="2" t="str">
        <f t="shared" si="0"/>
        <v>EXECUTE [dbo].[PG_CI_ARCUSFIL_PROGRAM]  0, 0, 'JLI','2018 JEEP JL',7</v>
      </c>
      <c r="I36" s="3"/>
      <c r="J36" s="2"/>
    </row>
    <row r="37" spans="1:10" x14ac:dyDescent="0.2">
      <c r="A37">
        <v>32</v>
      </c>
      <c r="B37" s="1">
        <v>7</v>
      </c>
      <c r="C37" s="1" t="s">
        <v>235</v>
      </c>
      <c r="D37" s="1" t="s">
        <v>252</v>
      </c>
      <c r="E37" t="s">
        <v>253</v>
      </c>
      <c r="F37" s="1">
        <v>7</v>
      </c>
      <c r="G37" s="2" t="s">
        <v>323</v>
      </c>
      <c r="H37" s="2" t="str">
        <f t="shared" si="0"/>
        <v>EXECUTE [dbo].[PG_CI_ARCUSFIL_PROGRAM]  0, 0, 'JPH','2020 JEEP JL PHEV',7</v>
      </c>
      <c r="I37" s="3"/>
      <c r="J37" s="2"/>
    </row>
    <row r="38" spans="1:10" x14ac:dyDescent="0.2">
      <c r="A38">
        <v>33</v>
      </c>
      <c r="B38" s="1">
        <v>7</v>
      </c>
      <c r="C38" s="1" t="s">
        <v>235</v>
      </c>
      <c r="D38" s="1" t="s">
        <v>250</v>
      </c>
      <c r="E38" t="s">
        <v>251</v>
      </c>
      <c r="F38" s="1">
        <v>7</v>
      </c>
      <c r="G38" s="2" t="s">
        <v>323</v>
      </c>
      <c r="H38" s="2" t="str">
        <f t="shared" si="0"/>
        <v>EXECUTE [dbo].[PG_CI_ARCUSFIL_PROGRAM]  0, 0, 'JPS','2021 JEEP JL PHEV SUMMIT',7</v>
      </c>
      <c r="J38" s="2"/>
    </row>
    <row r="39" spans="1:10" x14ac:dyDescent="0.2">
      <c r="A39">
        <v>34</v>
      </c>
      <c r="B39" s="1">
        <v>7</v>
      </c>
      <c r="C39" s="1" t="s">
        <v>235</v>
      </c>
      <c r="D39" s="1" t="s">
        <v>248</v>
      </c>
      <c r="E39" t="s">
        <v>249</v>
      </c>
      <c r="F39" s="1">
        <v>7</v>
      </c>
      <c r="G39" s="2" t="s">
        <v>323</v>
      </c>
      <c r="H39" s="2" t="str">
        <f t="shared" si="0"/>
        <v>EXECUTE [dbo].[PG_CI_ARCUSFIL_PROGRAM]  0, 0, 'JSU','JEEPJL SUMMIT',7</v>
      </c>
      <c r="J39" s="2"/>
    </row>
    <row r="40" spans="1:10" x14ac:dyDescent="0.2">
      <c r="A40">
        <v>35</v>
      </c>
      <c r="B40" s="1">
        <v>7</v>
      </c>
      <c r="C40" s="1" t="s">
        <v>235</v>
      </c>
      <c r="D40" s="1" t="s">
        <v>246</v>
      </c>
      <c r="E40" t="s">
        <v>247</v>
      </c>
      <c r="F40" s="1">
        <v>7</v>
      </c>
      <c r="G40" s="2" t="s">
        <v>323</v>
      </c>
      <c r="H40" s="2" t="str">
        <f t="shared" si="0"/>
        <v>EXECUTE [dbo].[PG_CI_ARCUSFIL_PROGRAM]  0, 0, 'JTM','2019 JEEP JT MOJAVE',7</v>
      </c>
      <c r="J40" s="3"/>
    </row>
    <row r="41" spans="1:10" x14ac:dyDescent="0.2">
      <c r="A41">
        <v>36</v>
      </c>
      <c r="B41" s="1">
        <v>7</v>
      </c>
      <c r="C41" s="1" t="s">
        <v>235</v>
      </c>
      <c r="D41" s="1" t="s">
        <v>244</v>
      </c>
      <c r="E41" t="s">
        <v>245</v>
      </c>
      <c r="F41" s="1">
        <v>7</v>
      </c>
      <c r="G41" s="2" t="s">
        <v>323</v>
      </c>
      <c r="H41" s="2" t="str">
        <f t="shared" si="0"/>
        <v>EXECUTE [dbo].[PG_CI_ARCUSFIL_PROGRAM]  0, 0, 'JTS','2021 JEEP JT SUMMIT',7</v>
      </c>
      <c r="J41" s="3"/>
    </row>
    <row r="42" spans="1:10" x14ac:dyDescent="0.2">
      <c r="A42">
        <v>37</v>
      </c>
      <c r="B42" s="1">
        <v>7</v>
      </c>
      <c r="C42" s="1" t="s">
        <v>235</v>
      </c>
      <c r="D42" s="1" t="s">
        <v>242</v>
      </c>
      <c r="E42" t="s">
        <v>243</v>
      </c>
      <c r="F42" s="1">
        <v>7</v>
      </c>
      <c r="G42" s="2" t="s">
        <v>323</v>
      </c>
      <c r="H42" s="2" t="str">
        <f t="shared" si="0"/>
        <v>EXECUTE [dbo].[PG_CI_ARCUSFIL_PROGRAM]  0, 0, 'VFL','V229 FORD FREESTAR LTD',7</v>
      </c>
      <c r="I42" s="3"/>
    </row>
    <row r="43" spans="1:10" x14ac:dyDescent="0.2">
      <c r="A43">
        <v>38</v>
      </c>
      <c r="B43" s="1">
        <v>7</v>
      </c>
      <c r="C43" s="1" t="s">
        <v>235</v>
      </c>
      <c r="D43" s="1" t="s">
        <v>240</v>
      </c>
      <c r="E43" t="s">
        <v>241</v>
      </c>
      <c r="F43" s="1">
        <v>7</v>
      </c>
      <c r="G43" s="2" t="s">
        <v>323</v>
      </c>
      <c r="H43" s="2" t="str">
        <f t="shared" si="0"/>
        <v>EXECUTE [dbo].[PG_CI_ARCUSFIL_PROGRAM]  0, 0, 'VML','V229 FREESTAR MERCURY LTD',7</v>
      </c>
      <c r="I43" s="3"/>
      <c r="J43" s="3"/>
    </row>
    <row r="44" spans="1:10" x14ac:dyDescent="0.2">
      <c r="A44">
        <v>39</v>
      </c>
      <c r="B44" s="1">
        <v>7</v>
      </c>
      <c r="C44" s="1" t="s">
        <v>235</v>
      </c>
      <c r="D44" s="1" t="s">
        <v>238</v>
      </c>
      <c r="E44" t="s">
        <v>239</v>
      </c>
      <c r="F44" s="1">
        <v>7</v>
      </c>
      <c r="G44" s="2" t="s">
        <v>323</v>
      </c>
      <c r="H44" s="2" t="str">
        <f t="shared" si="0"/>
        <v>EXECUTE [dbo].[PG_CI_ARCUSFIL_PROGRAM]  0, 0, 'VMP','V229 FREESTAR MPA',7</v>
      </c>
      <c r="I44" s="3"/>
      <c r="J44" s="3"/>
    </row>
    <row r="45" spans="1:10" x14ac:dyDescent="0.2">
      <c r="A45">
        <v>40</v>
      </c>
      <c r="B45" s="1">
        <v>7</v>
      </c>
      <c r="C45" s="1" t="s">
        <v>235</v>
      </c>
      <c r="D45" s="1" t="s">
        <v>236</v>
      </c>
      <c r="E45" t="s">
        <v>237</v>
      </c>
      <c r="F45" s="1">
        <v>7</v>
      </c>
      <c r="G45" s="2" t="s">
        <v>323</v>
      </c>
      <c r="H45" s="2" t="str">
        <f t="shared" si="0"/>
        <v>EXECUTE [dbo].[PG_CI_ARCUSFIL_PROGRAM]  0, 0, 'VMX','V229 FREESTAR MXA',7</v>
      </c>
      <c r="I45" s="3"/>
      <c r="J45" s="3"/>
    </row>
    <row r="46" spans="1:10" x14ac:dyDescent="0.2">
      <c r="A46">
        <v>41</v>
      </c>
      <c r="B46" s="1">
        <v>7</v>
      </c>
      <c r="C46" s="1" t="s">
        <v>235</v>
      </c>
      <c r="D46" s="1" t="s">
        <v>233</v>
      </c>
      <c r="E46" t="s">
        <v>234</v>
      </c>
      <c r="F46" s="1">
        <v>7</v>
      </c>
      <c r="G46" s="2" t="s">
        <v>323</v>
      </c>
      <c r="H46" s="2" t="str">
        <f t="shared" si="0"/>
        <v>EXECUTE [dbo].[PG_CI_ARCUSFIL_PROGRAM]  0, 0, 'WLS','WLS JEEP 2020',7</v>
      </c>
      <c r="I46" s="3"/>
      <c r="J46" s="3"/>
    </row>
    <row r="47" spans="1:10" x14ac:dyDescent="0.2">
      <c r="A47">
        <v>42</v>
      </c>
      <c r="B47" s="1">
        <v>34</v>
      </c>
      <c r="C47" s="1" t="s">
        <v>226</v>
      </c>
      <c r="D47" s="1">
        <v>191</v>
      </c>
      <c r="E47" t="s">
        <v>232</v>
      </c>
      <c r="F47" s="1">
        <v>34</v>
      </c>
      <c r="G47" s="2" t="s">
        <v>323</v>
      </c>
      <c r="H47" s="2" t="str">
        <f t="shared" si="0"/>
        <v>EXECUTE [dbo].[PG_CI_ARCUSFIL_PROGRAM]  0, 0, '191','GMT 191 2008',34</v>
      </c>
      <c r="I47" s="3"/>
      <c r="J47" s="3"/>
    </row>
    <row r="48" spans="1:10" x14ac:dyDescent="0.2">
      <c r="A48">
        <v>43</v>
      </c>
      <c r="B48" s="1">
        <v>34</v>
      </c>
      <c r="C48" s="1" t="s">
        <v>226</v>
      </c>
      <c r="D48" s="1">
        <v>192</v>
      </c>
      <c r="E48" t="s">
        <v>231</v>
      </c>
      <c r="F48" s="1">
        <v>34</v>
      </c>
      <c r="G48" s="2" t="s">
        <v>323</v>
      </c>
      <c r="H48" s="2" t="str">
        <f t="shared" si="0"/>
        <v>EXECUTE [dbo].[PG_CI_ARCUSFIL_PROGRAM]  0, 0, '192','GMT 192 2008',34</v>
      </c>
      <c r="I48" s="3"/>
      <c r="J48" s="3"/>
    </row>
    <row r="49" spans="1:10" x14ac:dyDescent="0.2">
      <c r="A49">
        <v>44</v>
      </c>
      <c r="B49" s="1">
        <v>34</v>
      </c>
      <c r="C49" s="1" t="s">
        <v>226</v>
      </c>
      <c r="D49" s="1" t="s">
        <v>229</v>
      </c>
      <c r="E49" t="s">
        <v>230</v>
      </c>
      <c r="F49" s="1">
        <v>34</v>
      </c>
      <c r="G49" s="2" t="s">
        <v>323</v>
      </c>
      <c r="H49" s="2" t="str">
        <f t="shared" si="0"/>
        <v>EXECUTE [dbo].[PG_CI_ARCUSFIL_PROGRAM]  0, 0, 'ARM','ARMREST GMT 193',34</v>
      </c>
      <c r="I49" s="3"/>
      <c r="J49" s="3"/>
    </row>
    <row r="50" spans="1:10" x14ac:dyDescent="0.2">
      <c r="A50">
        <v>45</v>
      </c>
      <c r="B50" s="1">
        <v>34</v>
      </c>
      <c r="C50" s="1" t="s">
        <v>226</v>
      </c>
      <c r="D50" s="1" t="s">
        <v>227</v>
      </c>
      <c r="E50" t="s">
        <v>228</v>
      </c>
      <c r="F50" s="1">
        <v>34</v>
      </c>
      <c r="G50" s="2" t="s">
        <v>323</v>
      </c>
      <c r="H50" s="2" t="str">
        <f t="shared" si="0"/>
        <v>EXECUTE [dbo].[PG_CI_ARCUSFIL_PROGRAM]  0, 0, 'G93','GMT 193 2008',34</v>
      </c>
      <c r="I50" s="3"/>
      <c r="J50" s="3"/>
    </row>
    <row r="51" spans="1:10" x14ac:dyDescent="0.2">
      <c r="A51">
        <v>46</v>
      </c>
      <c r="B51" s="1">
        <v>34</v>
      </c>
      <c r="C51" s="1" t="s">
        <v>226</v>
      </c>
      <c r="D51" s="1" t="s">
        <v>224</v>
      </c>
      <c r="E51" t="s">
        <v>225</v>
      </c>
      <c r="F51" s="1">
        <v>34</v>
      </c>
      <c r="G51" s="2" t="s">
        <v>323</v>
      </c>
      <c r="H51" s="2" t="str">
        <f t="shared" si="0"/>
        <v>EXECUTE [dbo].[PG_CI_ARCUSFIL_PROGRAM]  0, 0, 'GX2','GMT 192 GXP 2008',34</v>
      </c>
      <c r="I51" s="3"/>
      <c r="J51" s="2"/>
    </row>
    <row r="52" spans="1:10" x14ac:dyDescent="0.2">
      <c r="A52">
        <v>47</v>
      </c>
      <c r="B52" s="1">
        <v>32</v>
      </c>
      <c r="C52" s="1" t="s">
        <v>223</v>
      </c>
      <c r="D52" s="1" t="s">
        <v>221</v>
      </c>
      <c r="E52" t="s">
        <v>222</v>
      </c>
      <c r="F52" s="1">
        <v>32</v>
      </c>
      <c r="G52" s="2" t="s">
        <v>323</v>
      </c>
      <c r="H52" s="2" t="str">
        <f t="shared" si="0"/>
        <v>EXECUTE [dbo].[PG_CI_ARCUSFIL_PROGRAM]  0, 0, 'PL0','U388 CONSOLE',32</v>
      </c>
      <c r="J52" s="2"/>
    </row>
    <row r="53" spans="1:10" x14ac:dyDescent="0.2">
      <c r="A53">
        <v>48</v>
      </c>
      <c r="B53" s="1">
        <v>9</v>
      </c>
      <c r="C53" s="1" t="s">
        <v>217</v>
      </c>
      <c r="D53" s="1">
        <v>114</v>
      </c>
      <c r="E53" t="s">
        <v>220</v>
      </c>
      <c r="F53" s="1">
        <v>9</v>
      </c>
      <c r="G53" s="2" t="s">
        <v>323</v>
      </c>
      <c r="H53" s="2" t="str">
        <f t="shared" si="0"/>
        <v>EXECUTE [dbo].[PG_CI_ARCUSFIL_PROGRAM]  0, 0, '114','EN114 CONSOLE JCI',9</v>
      </c>
      <c r="I53" s="3"/>
      <c r="J53" s="3"/>
    </row>
    <row r="54" spans="1:10" x14ac:dyDescent="0.2">
      <c r="A54">
        <v>49</v>
      </c>
      <c r="B54" s="1">
        <v>9</v>
      </c>
      <c r="C54" s="1" t="s">
        <v>217</v>
      </c>
      <c r="D54" s="1" t="s">
        <v>218</v>
      </c>
      <c r="E54" t="s">
        <v>219</v>
      </c>
      <c r="F54" s="1">
        <v>9</v>
      </c>
      <c r="G54" s="2" t="s">
        <v>323</v>
      </c>
      <c r="H54" s="2" t="str">
        <f t="shared" si="0"/>
        <v>EXECUTE [dbo].[PG_CI_ARCUSFIL_PROGRAM]  0, 0, 'CHI','GM360 CHEVY / ISUZU /GMC CHINA',9</v>
      </c>
      <c r="I54" s="3"/>
      <c r="J54" s="2"/>
    </row>
    <row r="55" spans="1:10" x14ac:dyDescent="0.2">
      <c r="A55">
        <v>50</v>
      </c>
      <c r="B55" s="1">
        <v>9</v>
      </c>
      <c r="C55" s="1" t="s">
        <v>217</v>
      </c>
      <c r="D55" s="1" t="s">
        <v>215</v>
      </c>
      <c r="E55" t="s">
        <v>216</v>
      </c>
      <c r="F55" s="1">
        <v>9</v>
      </c>
      <c r="G55" s="2" t="s">
        <v>323</v>
      </c>
      <c r="H55" s="2" t="str">
        <f t="shared" si="0"/>
        <v>EXECUTE [dbo].[PG_CI_ARCUSFIL_PROGRAM]  0, 0, 'JCT','JCI-TESLA',9</v>
      </c>
      <c r="I55" s="3"/>
      <c r="J55" s="3"/>
    </row>
    <row r="56" spans="1:10" x14ac:dyDescent="0.2">
      <c r="A56">
        <v>51</v>
      </c>
      <c r="B56" s="1">
        <v>37</v>
      </c>
      <c r="C56" s="1" t="s">
        <v>202</v>
      </c>
      <c r="D56" s="1">
        <v>228</v>
      </c>
      <c r="E56" t="s">
        <v>214</v>
      </c>
      <c r="F56" s="1">
        <v>37</v>
      </c>
      <c r="G56" s="2" t="s">
        <v>323</v>
      </c>
      <c r="H56" s="2" t="str">
        <f t="shared" si="0"/>
        <v>EXECUTE [dbo].[PG_CI_ARCUSFIL_PROGRAM]  0, 0, '228','U228 NAVIGATOR LUX/ULT',37</v>
      </c>
      <c r="J56" s="3"/>
    </row>
    <row r="57" spans="1:10" x14ac:dyDescent="0.2">
      <c r="A57">
        <v>52</v>
      </c>
      <c r="B57" s="1">
        <v>37</v>
      </c>
      <c r="C57" s="1" t="s">
        <v>202</v>
      </c>
      <c r="D57" s="1">
        <v>415</v>
      </c>
      <c r="E57" t="s">
        <v>213</v>
      </c>
      <c r="F57" s="1">
        <v>37</v>
      </c>
      <c r="G57" s="2" t="s">
        <v>323</v>
      </c>
      <c r="H57" s="2" t="str">
        <f t="shared" si="0"/>
        <v>EXECUTE [dbo].[PG_CI_ARCUSFIL_PROGRAM]  0, 0, '415','P415 PLATINIUM',37</v>
      </c>
      <c r="J57" s="3"/>
    </row>
    <row r="58" spans="1:10" x14ac:dyDescent="0.2">
      <c r="A58">
        <v>53</v>
      </c>
      <c r="B58" s="1">
        <v>37</v>
      </c>
      <c r="C58" s="1" t="s">
        <v>202</v>
      </c>
      <c r="D58" s="1" t="s">
        <v>211</v>
      </c>
      <c r="E58" t="s">
        <v>212</v>
      </c>
      <c r="F58" s="1">
        <v>37</v>
      </c>
      <c r="G58" s="2" t="s">
        <v>323</v>
      </c>
      <c r="H58" s="2" t="str">
        <f t="shared" si="0"/>
        <v>EXECUTE [dbo].[PG_CI_ARCUSFIL_PROGRAM]  0, 0, 'BUI','GM 360 BUICK',37</v>
      </c>
      <c r="J58" s="2"/>
    </row>
    <row r="59" spans="1:10" x14ac:dyDescent="0.2">
      <c r="A59">
        <v>54</v>
      </c>
      <c r="B59" s="1">
        <v>37</v>
      </c>
      <c r="C59" s="1" t="s">
        <v>202</v>
      </c>
      <c r="D59" s="1" t="s">
        <v>209</v>
      </c>
      <c r="E59" t="s">
        <v>210</v>
      </c>
      <c r="F59" s="1">
        <v>37</v>
      </c>
      <c r="G59" s="2" t="s">
        <v>323</v>
      </c>
      <c r="H59" s="2" t="str">
        <f t="shared" si="0"/>
        <v>EXECUTE [dbo].[PG_CI_ARCUSFIL_PROGRAM]  0, 0, 'CHE','GM 360 CHEVY / ISUZU / GMC',37</v>
      </c>
      <c r="I59" s="3"/>
      <c r="J59" s="2"/>
    </row>
    <row r="60" spans="1:10" x14ac:dyDescent="0.2">
      <c r="A60">
        <v>55</v>
      </c>
      <c r="B60" s="1">
        <v>37</v>
      </c>
      <c r="C60" s="1" t="s">
        <v>202</v>
      </c>
      <c r="D60" s="1" t="s">
        <v>207</v>
      </c>
      <c r="E60" t="s">
        <v>208</v>
      </c>
      <c r="F60" s="1">
        <v>37</v>
      </c>
      <c r="G60" s="2" t="s">
        <v>323</v>
      </c>
      <c r="H60" s="2" t="str">
        <f t="shared" si="0"/>
        <v>EXECUTE [dbo].[PG_CI_ARCUSFIL_PROGRAM]  0, 0, 'DEN','GM 360 DENALY',37</v>
      </c>
      <c r="I60" s="3"/>
      <c r="J60" s="3"/>
    </row>
    <row r="61" spans="1:10" x14ac:dyDescent="0.2">
      <c r="A61">
        <v>56</v>
      </c>
      <c r="B61" s="1">
        <v>37</v>
      </c>
      <c r="C61" s="1" t="s">
        <v>202</v>
      </c>
      <c r="D61" s="1" t="s">
        <v>205</v>
      </c>
      <c r="E61" t="s">
        <v>206</v>
      </c>
      <c r="F61" s="1">
        <v>37</v>
      </c>
      <c r="G61" s="2" t="s">
        <v>323</v>
      </c>
      <c r="H61" s="2" t="str">
        <f t="shared" si="0"/>
        <v>EXECUTE [dbo].[PG_CI_ARCUSFIL_PROGRAM]  0, 0, 'GSS','GM 360 TRAILBLAZER SS',37</v>
      </c>
      <c r="J61" s="3"/>
    </row>
    <row r="62" spans="1:10" x14ac:dyDescent="0.2">
      <c r="A62">
        <v>57</v>
      </c>
      <c r="B62" s="1">
        <v>37</v>
      </c>
      <c r="C62" s="1" t="s">
        <v>202</v>
      </c>
      <c r="D62" s="1" t="s">
        <v>203</v>
      </c>
      <c r="E62" t="s">
        <v>204</v>
      </c>
      <c r="F62" s="1">
        <v>37</v>
      </c>
      <c r="G62" s="2" t="s">
        <v>323</v>
      </c>
      <c r="H62" s="2" t="str">
        <f t="shared" si="0"/>
        <v>EXECUTE [dbo].[PG_CI_ARCUSFIL_PROGRAM]  0, 0, 'NAV','U228 NAVIGATOR LUX EDIASA 3',37</v>
      </c>
      <c r="I62" s="3"/>
      <c r="J62" s="3"/>
    </row>
    <row r="63" spans="1:10" x14ac:dyDescent="0.2">
      <c r="A63">
        <v>58</v>
      </c>
      <c r="B63" s="1">
        <v>37</v>
      </c>
      <c r="C63" s="1" t="s">
        <v>202</v>
      </c>
      <c r="D63" s="1" t="s">
        <v>200</v>
      </c>
      <c r="E63" t="s">
        <v>201</v>
      </c>
      <c r="F63" s="1">
        <v>37</v>
      </c>
      <c r="G63" s="2" t="s">
        <v>323</v>
      </c>
      <c r="H63" s="2" t="str">
        <f t="shared" si="0"/>
        <v>EXECUTE [dbo].[PG_CI_ARCUSFIL_PROGRAM]  0, 0, 'SAA','GM 360 SAAB',37</v>
      </c>
      <c r="I63" s="3"/>
      <c r="J63" s="3"/>
    </row>
    <row r="64" spans="1:10" x14ac:dyDescent="0.2">
      <c r="A64">
        <v>59</v>
      </c>
      <c r="B64" s="1">
        <v>38</v>
      </c>
      <c r="C64" s="1" t="s">
        <v>197</v>
      </c>
      <c r="D64" s="1" t="s">
        <v>198</v>
      </c>
      <c r="E64" t="s">
        <v>199</v>
      </c>
      <c r="F64" s="1">
        <v>38</v>
      </c>
      <c r="G64" s="2" t="s">
        <v>323</v>
      </c>
      <c r="H64" s="2" t="str">
        <f t="shared" si="0"/>
        <v>EXECUTE [dbo].[PG_CI_ARCUSFIL_PROGRAM]  0, 0, 'SHA','GM 360 CHEVY/ISUZU/GMC SHANGAI',38</v>
      </c>
      <c r="J64" s="3"/>
    </row>
    <row r="65" spans="1:10" x14ac:dyDescent="0.2">
      <c r="A65">
        <v>60</v>
      </c>
      <c r="B65" s="1">
        <v>38</v>
      </c>
      <c r="C65" s="1" t="s">
        <v>197</v>
      </c>
      <c r="D65" s="1" t="s">
        <v>195</v>
      </c>
      <c r="E65" t="s">
        <v>196</v>
      </c>
      <c r="F65" s="1">
        <v>38</v>
      </c>
      <c r="G65" s="2" t="s">
        <v>323</v>
      </c>
      <c r="H65" s="2" t="str">
        <f t="shared" si="0"/>
        <v>EXECUTE [dbo].[PG_CI_ARCUSFIL_PROGRAM]  0, 0, 'SHI','GM360 CHEVY SHANGAI',38</v>
      </c>
    </row>
    <row r="66" spans="1:10" x14ac:dyDescent="0.2">
      <c r="A66">
        <v>61</v>
      </c>
      <c r="B66" s="1">
        <v>39</v>
      </c>
      <c r="C66" s="1" t="s">
        <v>194</v>
      </c>
      <c r="D66" s="1" t="s">
        <v>193</v>
      </c>
      <c r="E66" t="s">
        <v>20</v>
      </c>
      <c r="F66" s="1">
        <v>39</v>
      </c>
      <c r="G66" s="2" t="s">
        <v>323</v>
      </c>
      <c r="H66" s="2" t="str">
        <f t="shared" si="0"/>
        <v>EXECUTE [dbo].[PG_CI_ARCUSFIL_PROGRAM]  0, 0, 'KHE','U388 HEADREST',39</v>
      </c>
      <c r="J66" s="3"/>
    </row>
    <row r="67" spans="1:10" x14ac:dyDescent="0.2">
      <c r="A67">
        <v>62</v>
      </c>
      <c r="B67" s="1">
        <v>13</v>
      </c>
      <c r="C67" s="1" t="s">
        <v>175</v>
      </c>
      <c r="D67" s="1">
        <v>365</v>
      </c>
      <c r="E67" t="s">
        <v>192</v>
      </c>
      <c r="F67" s="1">
        <v>13</v>
      </c>
      <c r="G67" s="2" t="s">
        <v>323</v>
      </c>
      <c r="H67" s="2" t="str">
        <f t="shared" si="0"/>
        <v>EXECUTE [dbo].[PG_CI_ARCUSFIL_PROGRAM]  0, 0, '365','GMX 365 2008 FIXED',13</v>
      </c>
      <c r="J67" s="3"/>
    </row>
    <row r="68" spans="1:10" x14ac:dyDescent="0.2">
      <c r="A68">
        <v>63</v>
      </c>
      <c r="B68" s="1">
        <v>13</v>
      </c>
      <c r="C68" s="1" t="s">
        <v>175</v>
      </c>
      <c r="D68" s="1" t="s">
        <v>190</v>
      </c>
      <c r="E68" t="s">
        <v>191</v>
      </c>
      <c r="F68" s="1">
        <v>13</v>
      </c>
      <c r="G68" s="2" t="s">
        <v>323</v>
      </c>
      <c r="H68" s="2" t="str">
        <f t="shared" si="0"/>
        <v>EXECUTE [dbo].[PG_CI_ARCUSFIL_PROGRAM]  0, 0, 'CAL','2013 S197 MUSTANG CALIFORNIA',13</v>
      </c>
      <c r="J68" s="3"/>
    </row>
    <row r="69" spans="1:10" x14ac:dyDescent="0.2">
      <c r="A69">
        <v>64</v>
      </c>
      <c r="B69" s="1">
        <v>13</v>
      </c>
      <c r="C69" s="1" t="s">
        <v>175</v>
      </c>
      <c r="D69" s="1" t="s">
        <v>188</v>
      </c>
      <c r="E69" t="s">
        <v>189</v>
      </c>
      <c r="F69" s="1">
        <v>13</v>
      </c>
      <c r="G69" s="2" t="s">
        <v>323</v>
      </c>
      <c r="H69" s="2" t="str">
        <f t="shared" si="0"/>
        <v>EXECUTE [dbo].[PG_CI_ARCUSFIL_PROGRAM]  0, 0, 'G65','GMX365 BUICK LACROSSE',13</v>
      </c>
      <c r="J69" s="3"/>
    </row>
    <row r="70" spans="1:10" x14ac:dyDescent="0.2">
      <c r="A70">
        <v>65</v>
      </c>
      <c r="B70" s="1">
        <v>13</v>
      </c>
      <c r="C70" s="1" t="s">
        <v>175</v>
      </c>
      <c r="D70" s="1" t="s">
        <v>186</v>
      </c>
      <c r="E70" t="s">
        <v>187</v>
      </c>
      <c r="F70" s="1">
        <v>13</v>
      </c>
      <c r="G70" s="2" t="s">
        <v>323</v>
      </c>
      <c r="H70" s="2" t="str">
        <f t="shared" si="0"/>
        <v>EXECUTE [dbo].[PG_CI_ARCUSFIL_PROGRAM]  0, 0, 'IUP','2013 S197 MUSTANG IUP',13</v>
      </c>
      <c r="J70" s="3"/>
    </row>
    <row r="71" spans="1:10" x14ac:dyDescent="0.2">
      <c r="A71">
        <v>66</v>
      </c>
      <c r="B71" s="1">
        <v>13</v>
      </c>
      <c r="C71" s="1" t="s">
        <v>175</v>
      </c>
      <c r="D71" s="1" t="s">
        <v>184</v>
      </c>
      <c r="E71" t="s">
        <v>185</v>
      </c>
      <c r="F71" s="1">
        <v>13</v>
      </c>
      <c r="G71" s="2" t="s">
        <v>323</v>
      </c>
      <c r="H71" s="2" t="str">
        <f t="shared" ref="H71:H134" si="1">_xlfn.CONCAT(G71,"'",D71,"'",$H$5,"'",TRIM(E71),"'",$H$5,F71)</f>
        <v>EXECUTE [dbo].[PG_CI_ARCUSFIL_PROGRAM]  0, 0, 'PRM','2013 S197 MUSTANG PREMIUM',13</v>
      </c>
      <c r="J71" s="3"/>
    </row>
    <row r="72" spans="1:10" x14ac:dyDescent="0.2">
      <c r="A72">
        <v>67</v>
      </c>
      <c r="B72" s="1">
        <v>13</v>
      </c>
      <c r="C72" s="1" t="s">
        <v>175</v>
      </c>
      <c r="D72" s="1" t="s">
        <v>182</v>
      </c>
      <c r="E72" t="s">
        <v>183</v>
      </c>
      <c r="F72" s="1">
        <v>13</v>
      </c>
      <c r="G72" s="2" t="s">
        <v>323</v>
      </c>
      <c r="H72" s="2" t="str">
        <f t="shared" si="1"/>
        <v>EXECUTE [dbo].[PG_CI_ARCUSFIL_PROGRAM]  0, 0, 'SH1','2013 S197 MUSTANG SHELBY 5B8',13</v>
      </c>
      <c r="J72" s="3"/>
    </row>
    <row r="73" spans="1:10" x14ac:dyDescent="0.2">
      <c r="A73">
        <v>68</v>
      </c>
      <c r="B73" s="1">
        <v>13</v>
      </c>
      <c r="C73" s="1" t="s">
        <v>175</v>
      </c>
      <c r="D73" s="1" t="s">
        <v>180</v>
      </c>
      <c r="E73" t="s">
        <v>181</v>
      </c>
      <c r="F73" s="1">
        <v>13</v>
      </c>
      <c r="G73" s="2" t="s">
        <v>323</v>
      </c>
      <c r="H73" s="2" t="str">
        <f t="shared" si="1"/>
        <v>EXECUTE [dbo].[PG_CI_ARCUSFIL_PROGRAM]  0, 0, 'SH2','2013 S197 MUSTANG SHELBY TT',13</v>
      </c>
      <c r="I73" s="3"/>
      <c r="J73" s="3"/>
    </row>
    <row r="74" spans="1:10" x14ac:dyDescent="0.2">
      <c r="A74">
        <v>69</v>
      </c>
      <c r="B74" s="1">
        <v>13</v>
      </c>
      <c r="C74" s="1" t="s">
        <v>175</v>
      </c>
      <c r="D74" s="1" t="s">
        <v>178</v>
      </c>
      <c r="E74" t="s">
        <v>179</v>
      </c>
      <c r="F74" s="1">
        <v>13</v>
      </c>
      <c r="G74" s="2" t="s">
        <v>323</v>
      </c>
      <c r="H74" s="2" t="str">
        <f t="shared" si="1"/>
        <v>EXECUTE [dbo].[PG_CI_ARCUSFIL_PROGRAM]  0, 0, 'THL','2013 D258 TAURUS LTD',13</v>
      </c>
      <c r="I74" s="3"/>
      <c r="J74" s="3"/>
    </row>
    <row r="75" spans="1:10" x14ac:dyDescent="0.2">
      <c r="A75">
        <v>70</v>
      </c>
      <c r="B75" s="1">
        <v>13</v>
      </c>
      <c r="C75" s="1" t="s">
        <v>175</v>
      </c>
      <c r="D75" s="1" t="s">
        <v>176</v>
      </c>
      <c r="E75" t="s">
        <v>177</v>
      </c>
      <c r="F75" s="1">
        <v>13</v>
      </c>
      <c r="G75" s="2" t="s">
        <v>323</v>
      </c>
      <c r="H75" s="2" t="str">
        <f t="shared" si="1"/>
        <v>EXECUTE [dbo].[PG_CI_ARCUSFIL_PROGRAM]  0, 0, 'THO','2013 D258 TAURUS SHO &amp; LIMITED',13</v>
      </c>
      <c r="I75" s="3"/>
      <c r="J75" s="3"/>
    </row>
    <row r="76" spans="1:10" x14ac:dyDescent="0.2">
      <c r="A76">
        <v>71</v>
      </c>
      <c r="B76" s="1">
        <v>13</v>
      </c>
      <c r="C76" s="1" t="s">
        <v>175</v>
      </c>
      <c r="D76" s="1" t="s">
        <v>173</v>
      </c>
      <c r="E76" t="s">
        <v>174</v>
      </c>
      <c r="F76" s="1">
        <v>13</v>
      </c>
      <c r="G76" s="2" t="s">
        <v>323</v>
      </c>
      <c r="H76" s="2" t="str">
        <f t="shared" si="1"/>
        <v>EXECUTE [dbo].[PG_CI_ARCUSFIL_PROGRAM]  0, 0, 'TSL','2013 D258 TAURUS SEL',13</v>
      </c>
      <c r="I76" s="3"/>
      <c r="J76" s="3"/>
    </row>
    <row r="77" spans="1:10" x14ac:dyDescent="0.2">
      <c r="A77">
        <v>72</v>
      </c>
      <c r="B77" s="1">
        <v>17</v>
      </c>
      <c r="C77" s="1" t="s">
        <v>136</v>
      </c>
      <c r="D77" s="1" t="s">
        <v>171</v>
      </c>
      <c r="E77" t="s">
        <v>172</v>
      </c>
      <c r="F77" s="1">
        <v>17</v>
      </c>
      <c r="G77" s="2" t="s">
        <v>323</v>
      </c>
      <c r="H77" s="2" t="str">
        <f t="shared" si="1"/>
        <v>EXECUTE [dbo].[PG_CI_ARCUSFIL_PROGRAM]  0, 0, 'GMC','GMX 001 COUPE',17</v>
      </c>
      <c r="I77" s="3"/>
      <c r="J77" s="2"/>
    </row>
    <row r="78" spans="1:10" x14ac:dyDescent="0.2">
      <c r="A78">
        <v>73</v>
      </c>
      <c r="B78" s="1">
        <v>17</v>
      </c>
      <c r="C78" s="1" t="s">
        <v>136</v>
      </c>
      <c r="D78" s="1" t="s">
        <v>169</v>
      </c>
      <c r="E78" t="s">
        <v>170</v>
      </c>
      <c r="F78" s="1">
        <v>17</v>
      </c>
      <c r="G78" s="2" t="s">
        <v>323</v>
      </c>
      <c r="H78" s="2" t="str">
        <f t="shared" si="1"/>
        <v>EXECUTE [dbo].[PG_CI_ARCUSFIL_PROGRAM]  0, 0, 'GX1','GMX 001 COUPE L4',17</v>
      </c>
      <c r="I78" s="3"/>
    </row>
    <row r="79" spans="1:10" x14ac:dyDescent="0.2">
      <c r="A79">
        <v>74</v>
      </c>
      <c r="B79" s="1">
        <v>17</v>
      </c>
      <c r="C79" s="1" t="s">
        <v>136</v>
      </c>
      <c r="D79" s="1" t="s">
        <v>167</v>
      </c>
      <c r="E79" t="s">
        <v>168</v>
      </c>
      <c r="F79" s="1">
        <v>17</v>
      </c>
      <c r="G79" s="2" t="s">
        <v>323</v>
      </c>
      <c r="H79" s="2" t="str">
        <f t="shared" si="1"/>
        <v>EXECUTE [dbo].[PG_CI_ARCUSFIL_PROGRAM]  0, 0, 'GXS','GMX001 SEDAN',17</v>
      </c>
      <c r="I79" s="3"/>
      <c r="J79" s="2"/>
    </row>
    <row r="80" spans="1:10" x14ac:dyDescent="0.2">
      <c r="A80">
        <v>75</v>
      </c>
      <c r="B80" s="1">
        <v>17</v>
      </c>
      <c r="C80" s="1" t="s">
        <v>136</v>
      </c>
      <c r="D80" s="1" t="s">
        <v>165</v>
      </c>
      <c r="E80" t="s">
        <v>166</v>
      </c>
      <c r="F80" s="1">
        <v>17</v>
      </c>
      <c r="G80" s="2" t="s">
        <v>323</v>
      </c>
      <c r="H80" s="2" t="str">
        <f t="shared" si="1"/>
        <v>EXECUTE [dbo].[PG_CI_ARCUSFIL_PROGRAM]  0, 0, 'HRM','U377 HEADREST 2010',17</v>
      </c>
      <c r="I80" s="3"/>
    </row>
    <row r="81" spans="1:10" x14ac:dyDescent="0.2">
      <c r="A81">
        <v>76</v>
      </c>
      <c r="B81" s="1">
        <v>17</v>
      </c>
      <c r="C81" s="1" t="s">
        <v>136</v>
      </c>
      <c r="D81" s="1" t="s">
        <v>163</v>
      </c>
      <c r="E81" t="s">
        <v>164</v>
      </c>
      <c r="F81" s="1">
        <v>17</v>
      </c>
      <c r="G81" s="2" t="s">
        <v>323</v>
      </c>
      <c r="H81" s="2" t="str">
        <f t="shared" si="1"/>
        <v>EXECUTE [dbo].[PG_CI_ARCUSFIL_PROGRAM]  0, 0, 'MAZ','U377 MAZDA PREMIUM 2009',17</v>
      </c>
      <c r="I81" s="3"/>
      <c r="J81" s="2"/>
    </row>
    <row r="82" spans="1:10" x14ac:dyDescent="0.2">
      <c r="A82">
        <v>77</v>
      </c>
      <c r="B82" s="1">
        <v>17</v>
      </c>
      <c r="C82" s="1" t="s">
        <v>136</v>
      </c>
      <c r="D82" s="1" t="s">
        <v>161</v>
      </c>
      <c r="E82" t="s">
        <v>162</v>
      </c>
      <c r="F82" s="1">
        <v>17</v>
      </c>
      <c r="G82" s="2" t="s">
        <v>323</v>
      </c>
      <c r="H82" s="2" t="str">
        <f t="shared" si="1"/>
        <v>EXECUTE [dbo].[PG_CI_ARCUSFIL_PROGRAM]  0, 0, 'MP9','U377 MERCURY PREMIUM 2009',17</v>
      </c>
      <c r="I82" s="3"/>
      <c r="J82" s="2"/>
    </row>
    <row r="83" spans="1:10" x14ac:dyDescent="0.2">
      <c r="A83">
        <v>78</v>
      </c>
      <c r="B83" s="1">
        <v>17</v>
      </c>
      <c r="C83" s="1" t="s">
        <v>136</v>
      </c>
      <c r="D83" s="1" t="s">
        <v>159</v>
      </c>
      <c r="E83" t="s">
        <v>160</v>
      </c>
      <c r="F83" s="1">
        <v>17</v>
      </c>
      <c r="G83" s="2" t="s">
        <v>323</v>
      </c>
      <c r="H83" s="2" t="str">
        <f t="shared" si="1"/>
        <v>EXECUTE [dbo].[PG_CI_ARCUSFIL_PROGRAM]  0, 0, 'PL1','U377 FORD PREMIUM 11 PLM',17</v>
      </c>
      <c r="I83" s="3"/>
      <c r="J83" s="2"/>
    </row>
    <row r="84" spans="1:10" x14ac:dyDescent="0.2">
      <c r="A84">
        <v>79</v>
      </c>
      <c r="B84" s="1">
        <v>17</v>
      </c>
      <c r="C84" s="1" t="s">
        <v>136</v>
      </c>
      <c r="D84" s="1" t="s">
        <v>157</v>
      </c>
      <c r="E84" t="s">
        <v>158</v>
      </c>
      <c r="F84" s="1">
        <v>17</v>
      </c>
      <c r="G84" s="2" t="s">
        <v>323</v>
      </c>
      <c r="H84" s="2" t="str">
        <f t="shared" si="1"/>
        <v>EXECUTE [dbo].[PG_CI_ARCUSFIL_PROGRAM]  0, 0, 'PLA','VN-127 FORD ECONOLINE',17</v>
      </c>
      <c r="I84" s="3"/>
      <c r="J84" s="2"/>
    </row>
    <row r="85" spans="1:10" x14ac:dyDescent="0.2">
      <c r="A85">
        <v>80</v>
      </c>
      <c r="B85" s="1">
        <v>17</v>
      </c>
      <c r="C85" s="1" t="s">
        <v>136</v>
      </c>
      <c r="D85" s="1" t="s">
        <v>155</v>
      </c>
      <c r="E85" t="s">
        <v>156</v>
      </c>
      <c r="F85" s="1">
        <v>17</v>
      </c>
      <c r="G85" s="2" t="s">
        <v>323</v>
      </c>
      <c r="H85" s="2" t="str">
        <f t="shared" si="1"/>
        <v>EXECUTE [dbo].[PG_CI_ARCUSFIL_PROGRAM]  0, 0, 'U20','U204 MAZDA AIR BAG',17</v>
      </c>
      <c r="I85" s="3"/>
      <c r="J85" s="2"/>
    </row>
    <row r="86" spans="1:10" x14ac:dyDescent="0.2">
      <c r="A86">
        <v>81</v>
      </c>
      <c r="B86" s="1">
        <v>17</v>
      </c>
      <c r="C86" s="1" t="s">
        <v>136</v>
      </c>
      <c r="D86" s="1" t="s">
        <v>153</v>
      </c>
      <c r="E86" t="s">
        <v>154</v>
      </c>
      <c r="F86" s="1">
        <v>17</v>
      </c>
      <c r="G86" s="2" t="s">
        <v>323</v>
      </c>
      <c r="H86" s="2" t="str">
        <f t="shared" si="1"/>
        <v>EXECUTE [dbo].[PG_CI_ARCUSFIL_PROGRAM]  0, 0, 'U2F','U204 FORD LTD AB',17</v>
      </c>
      <c r="I86" s="3"/>
      <c r="J86" s="2"/>
    </row>
    <row r="87" spans="1:10" x14ac:dyDescent="0.2">
      <c r="A87">
        <v>82</v>
      </c>
      <c r="B87" s="1">
        <v>17</v>
      </c>
      <c r="C87" s="1" t="s">
        <v>136</v>
      </c>
      <c r="D87" s="1" t="s">
        <v>151</v>
      </c>
      <c r="E87" t="s">
        <v>152</v>
      </c>
      <c r="F87" s="1">
        <v>17</v>
      </c>
      <c r="G87" s="2" t="s">
        <v>323</v>
      </c>
      <c r="H87" s="2" t="str">
        <f t="shared" si="1"/>
        <v>EXECUTE [dbo].[PG_CI_ARCUSFIL_PROGRAM]  0, 0, 'U2L','U204 FORD LTD STD',17</v>
      </c>
      <c r="I87" s="3"/>
      <c r="J87" s="2"/>
    </row>
    <row r="88" spans="1:10" x14ac:dyDescent="0.2">
      <c r="A88">
        <v>83</v>
      </c>
      <c r="B88" s="1">
        <v>17</v>
      </c>
      <c r="C88" s="1" t="s">
        <v>136</v>
      </c>
      <c r="D88" s="1" t="s">
        <v>149</v>
      </c>
      <c r="E88" t="s">
        <v>150</v>
      </c>
      <c r="F88" s="1">
        <v>17</v>
      </c>
      <c r="G88" s="2" t="s">
        <v>323</v>
      </c>
      <c r="H88" s="2" t="str">
        <f t="shared" si="1"/>
        <v>EXECUTE [dbo].[PG_CI_ARCUSFIL_PROGRAM]  0, 0, 'U2M','U204 MAZDA PREMIUM',17</v>
      </c>
      <c r="I88" s="3"/>
      <c r="J88" s="3"/>
    </row>
    <row r="89" spans="1:10" x14ac:dyDescent="0.2">
      <c r="A89">
        <v>84</v>
      </c>
      <c r="B89" s="1">
        <v>17</v>
      </c>
      <c r="C89" s="1" t="s">
        <v>136</v>
      </c>
      <c r="D89" s="1" t="s">
        <v>147</v>
      </c>
      <c r="E89" t="s">
        <v>148</v>
      </c>
      <c r="F89" s="1">
        <v>17</v>
      </c>
      <c r="G89" s="2" t="s">
        <v>323</v>
      </c>
      <c r="H89" s="2" t="str">
        <f t="shared" si="1"/>
        <v>EXECUTE [dbo].[PG_CI_ARCUSFIL_PROGRAM]  0, 0, 'U37','U377 MERCURY LTD 2008',17</v>
      </c>
      <c r="J89" s="3"/>
    </row>
    <row r="90" spans="1:10" x14ac:dyDescent="0.2">
      <c r="A90">
        <v>85</v>
      </c>
      <c r="B90" s="1">
        <v>17</v>
      </c>
      <c r="C90" s="1" t="s">
        <v>136</v>
      </c>
      <c r="D90" s="1" t="s">
        <v>145</v>
      </c>
      <c r="E90" t="s">
        <v>146</v>
      </c>
      <c r="F90" s="1">
        <v>17</v>
      </c>
      <c r="G90" s="2" t="s">
        <v>323</v>
      </c>
      <c r="H90" s="2" t="str">
        <f t="shared" si="1"/>
        <v>EXECUTE [dbo].[PG_CI_ARCUSFIL_PROGRAM]  0, 0, 'U3L','U364 MERCURY LTD STD',17</v>
      </c>
      <c r="I90" s="3"/>
      <c r="J90" s="2"/>
    </row>
    <row r="91" spans="1:10" x14ac:dyDescent="0.2">
      <c r="A91">
        <v>86</v>
      </c>
      <c r="B91" s="1">
        <v>17</v>
      </c>
      <c r="C91" s="1" t="s">
        <v>136</v>
      </c>
      <c r="D91" s="1" t="s">
        <v>143</v>
      </c>
      <c r="E91" t="s">
        <v>144</v>
      </c>
      <c r="F91" s="1">
        <v>17</v>
      </c>
      <c r="G91" s="2" t="s">
        <v>323</v>
      </c>
      <c r="H91" s="2" t="str">
        <f t="shared" si="1"/>
        <v>EXECUTE [dbo].[PG_CI_ARCUSFIL_PROGRAM]  0, 0, 'U3M','U377 MERCURY PREMIUM 2008',17</v>
      </c>
      <c r="I91" s="3"/>
      <c r="J91" s="2"/>
    </row>
    <row r="92" spans="1:10" x14ac:dyDescent="0.2">
      <c r="A92">
        <v>87</v>
      </c>
      <c r="B92" s="1">
        <v>17</v>
      </c>
      <c r="C92" s="1" t="s">
        <v>136</v>
      </c>
      <c r="D92" s="1" t="s">
        <v>141</v>
      </c>
      <c r="E92" t="s">
        <v>142</v>
      </c>
      <c r="F92" s="1">
        <v>17</v>
      </c>
      <c r="G92" s="2" t="s">
        <v>323</v>
      </c>
      <c r="H92" s="2" t="str">
        <f t="shared" si="1"/>
        <v>EXECUTE [dbo].[PG_CI_ARCUSFIL_PROGRAM]  0, 0, 'U3P','U364 MCY PREMIUM',17</v>
      </c>
      <c r="I92" s="3"/>
      <c r="J92" s="3"/>
    </row>
    <row r="93" spans="1:10" x14ac:dyDescent="0.2">
      <c r="A93">
        <v>88</v>
      </c>
      <c r="B93" s="1">
        <v>17</v>
      </c>
      <c r="C93" s="1" t="s">
        <v>136</v>
      </c>
      <c r="D93" s="1" t="s">
        <v>139</v>
      </c>
      <c r="E93" t="s">
        <v>140</v>
      </c>
      <c r="F93" s="1">
        <v>17</v>
      </c>
      <c r="G93" s="2" t="s">
        <v>323</v>
      </c>
      <c r="H93" s="2" t="str">
        <f t="shared" si="1"/>
        <v>EXECUTE [dbo].[PG_CI_ARCUSFIL_PROGRAM]  0, 0, 'U55','2019 U553 EXPEDITION',17</v>
      </c>
      <c r="I93" s="3"/>
      <c r="J93" s="3"/>
    </row>
    <row r="94" spans="1:10" x14ac:dyDescent="0.2">
      <c r="A94">
        <v>89</v>
      </c>
      <c r="B94" s="1">
        <v>17</v>
      </c>
      <c r="C94" s="1" t="s">
        <v>136</v>
      </c>
      <c r="D94" s="1" t="s">
        <v>137</v>
      </c>
      <c r="E94" t="s">
        <v>138</v>
      </c>
      <c r="F94" s="1">
        <v>17</v>
      </c>
      <c r="G94" s="2" t="s">
        <v>323</v>
      </c>
      <c r="H94" s="2" t="str">
        <f t="shared" si="1"/>
        <v>EXECUTE [dbo].[PG_CI_ARCUSFIL_PROGRAM]  0, 0, 'U77','U377 FORD MONO TONE',17</v>
      </c>
      <c r="I94" s="3"/>
      <c r="J94" s="3"/>
    </row>
    <row r="95" spans="1:10" x14ac:dyDescent="0.2">
      <c r="A95">
        <v>90</v>
      </c>
      <c r="B95" s="1">
        <v>17</v>
      </c>
      <c r="C95" s="1" t="s">
        <v>136</v>
      </c>
      <c r="D95" s="1" t="s">
        <v>134</v>
      </c>
      <c r="E95" t="s">
        <v>135</v>
      </c>
      <c r="F95" s="1">
        <v>17</v>
      </c>
      <c r="G95" s="2" t="s">
        <v>323</v>
      </c>
      <c r="H95" s="2" t="str">
        <f t="shared" si="1"/>
        <v>EXECUTE [dbo].[PG_CI_ARCUSFIL_PROGRAM]  0, 0, 'UMA','U377 MAZDA PREMIUM 2008',17</v>
      </c>
      <c r="I95" s="3"/>
      <c r="J95" s="3"/>
    </row>
    <row r="96" spans="1:10" x14ac:dyDescent="0.2">
      <c r="A96">
        <v>91</v>
      </c>
      <c r="B96" s="1">
        <v>18</v>
      </c>
      <c r="C96" s="1" t="s">
        <v>105</v>
      </c>
      <c r="D96" s="1" t="s">
        <v>132</v>
      </c>
      <c r="E96" t="s">
        <v>133</v>
      </c>
      <c r="F96" s="1">
        <v>18</v>
      </c>
      <c r="G96" s="2" t="s">
        <v>323</v>
      </c>
      <c r="H96" s="2" t="str">
        <f t="shared" si="1"/>
        <v>EXECUTE [dbo].[PG_CI_ARCUSFIL_PROGRAM]  0, 0, 'W7A','2021 WL 74 AL',18</v>
      </c>
      <c r="I96" s="3"/>
      <c r="J96" s="3"/>
    </row>
    <row r="97" spans="1:10" x14ac:dyDescent="0.2">
      <c r="A97">
        <v>92</v>
      </c>
      <c r="B97" s="1">
        <v>18</v>
      </c>
      <c r="C97" s="1" t="s">
        <v>105</v>
      </c>
      <c r="D97" s="1" t="s">
        <v>130</v>
      </c>
      <c r="E97" t="s">
        <v>131</v>
      </c>
      <c r="F97" s="1">
        <v>18</v>
      </c>
      <c r="G97" s="2" t="s">
        <v>323</v>
      </c>
      <c r="H97" s="2" t="str">
        <f t="shared" si="1"/>
        <v>EXECUTE [dbo].[PG_CI_ARCUSFIL_PROGRAM]  0, 0, 'W7B','2021 WL 74 BL',18</v>
      </c>
      <c r="I97" s="3"/>
      <c r="J97" s="3"/>
    </row>
    <row r="98" spans="1:10" x14ac:dyDescent="0.2">
      <c r="A98">
        <v>93</v>
      </c>
      <c r="B98" s="1">
        <v>18</v>
      </c>
      <c r="C98" s="1" t="s">
        <v>105</v>
      </c>
      <c r="D98" s="1" t="s">
        <v>128</v>
      </c>
      <c r="E98" t="s">
        <v>129</v>
      </c>
      <c r="F98" s="1">
        <v>18</v>
      </c>
      <c r="G98" s="2" t="s">
        <v>323</v>
      </c>
      <c r="H98" s="2" t="str">
        <f t="shared" si="1"/>
        <v>EXECUTE [dbo].[PG_CI_ARCUSFIL_PROGRAM]  0, 0, 'W7C','2021 WL 74 CL 8W',18</v>
      </c>
      <c r="I98" s="3"/>
      <c r="J98" s="3"/>
    </row>
    <row r="99" spans="1:10" x14ac:dyDescent="0.2">
      <c r="A99">
        <v>94</v>
      </c>
      <c r="B99" s="1">
        <v>18</v>
      </c>
      <c r="C99" s="1" t="s">
        <v>105</v>
      </c>
      <c r="D99" s="1" t="s">
        <v>126</v>
      </c>
      <c r="E99" t="s">
        <v>127</v>
      </c>
      <c r="F99" s="1">
        <v>18</v>
      </c>
      <c r="G99" s="2" t="s">
        <v>323</v>
      </c>
      <c r="H99" s="2" t="str">
        <f t="shared" si="1"/>
        <v>EXECUTE [dbo].[PG_CI_ARCUSFIL_PROGRAM]  0, 0, 'W7D','2021 WL 74 DL',18</v>
      </c>
      <c r="I99" s="3"/>
      <c r="J99" s="3"/>
    </row>
    <row r="100" spans="1:10" x14ac:dyDescent="0.2">
      <c r="A100">
        <v>95</v>
      </c>
      <c r="B100" s="1">
        <v>18</v>
      </c>
      <c r="C100" s="1" t="s">
        <v>105</v>
      </c>
      <c r="D100" s="1" t="s">
        <v>124</v>
      </c>
      <c r="E100" t="s">
        <v>125</v>
      </c>
      <c r="F100" s="1">
        <v>18</v>
      </c>
      <c r="G100" s="2" t="s">
        <v>323</v>
      </c>
      <c r="H100" s="2" t="str">
        <f t="shared" si="1"/>
        <v>EXECUTE [dbo].[PG_CI_ARCUSFIL_PROGRAM]  0, 0, 'W7E','2021 WL 74 EC',18</v>
      </c>
      <c r="I100" s="3"/>
      <c r="J100" s="3"/>
    </row>
    <row r="101" spans="1:10" x14ac:dyDescent="0.2">
      <c r="A101">
        <v>96</v>
      </c>
      <c r="B101" s="1">
        <v>18</v>
      </c>
      <c r="C101" s="1" t="s">
        <v>105</v>
      </c>
      <c r="D101" s="1" t="s">
        <v>122</v>
      </c>
      <c r="E101" t="s">
        <v>123</v>
      </c>
      <c r="F101" s="1">
        <v>18</v>
      </c>
      <c r="G101" s="2" t="s">
        <v>323</v>
      </c>
      <c r="H101" s="2" t="str">
        <f t="shared" si="1"/>
        <v>EXECUTE [dbo].[PG_CI_ARCUSFIL_PROGRAM]  0, 0, 'W7S','2021 WL 74 SL',18</v>
      </c>
      <c r="I101" s="3"/>
      <c r="J101" s="3"/>
    </row>
    <row r="102" spans="1:10" x14ac:dyDescent="0.2">
      <c r="A102">
        <v>97</v>
      </c>
      <c r="B102" s="1">
        <v>18</v>
      </c>
      <c r="C102" s="1" t="s">
        <v>105</v>
      </c>
      <c r="D102" s="1" t="s">
        <v>120</v>
      </c>
      <c r="E102" t="s">
        <v>121</v>
      </c>
      <c r="F102" s="1">
        <v>18</v>
      </c>
      <c r="G102" s="2" t="s">
        <v>323</v>
      </c>
      <c r="H102" s="2" t="str">
        <f t="shared" si="1"/>
        <v>EXECUTE [dbo].[PG_CI_ARCUSFIL_PROGRAM]  0, 0, 'W7T','2021 WL 74 TL',18</v>
      </c>
      <c r="I102" s="3"/>
      <c r="J102" s="3"/>
    </row>
    <row r="103" spans="1:10" x14ac:dyDescent="0.2">
      <c r="A103">
        <v>98</v>
      </c>
      <c r="B103" s="1">
        <v>18</v>
      </c>
      <c r="C103" s="1" t="s">
        <v>105</v>
      </c>
      <c r="D103" s="1" t="s">
        <v>118</v>
      </c>
      <c r="E103" t="s">
        <v>119</v>
      </c>
      <c r="F103" s="1">
        <v>18</v>
      </c>
      <c r="G103" s="2" t="s">
        <v>323</v>
      </c>
      <c r="H103" s="2" t="str">
        <f t="shared" si="1"/>
        <v>EXECUTE [dbo].[PG_CI_ARCUSFIL_PROGRAM]  0, 0, 'WAL','2021 WL 75 AL 8W LIMITED',18</v>
      </c>
      <c r="I103" s="3"/>
      <c r="J103" s="3"/>
    </row>
    <row r="104" spans="1:10" x14ac:dyDescent="0.2">
      <c r="A104">
        <v>99</v>
      </c>
      <c r="B104" s="1">
        <v>18</v>
      </c>
      <c r="C104" s="1" t="s">
        <v>105</v>
      </c>
      <c r="D104" s="1" t="s">
        <v>116</v>
      </c>
      <c r="E104" t="s">
        <v>117</v>
      </c>
      <c r="F104" s="1">
        <v>18</v>
      </c>
      <c r="G104" s="2" t="s">
        <v>323</v>
      </c>
      <c r="H104" s="2" t="str">
        <f t="shared" si="1"/>
        <v>EXECUTE [dbo].[PG_CI_ARCUSFIL_PROGRAM]  0, 0, 'WC1','2021 WL 75 CL 12 WAY',18</v>
      </c>
      <c r="I104" s="3"/>
      <c r="J104" s="3"/>
    </row>
    <row r="105" spans="1:10" x14ac:dyDescent="0.2">
      <c r="A105">
        <v>100</v>
      </c>
      <c r="B105" s="1">
        <v>18</v>
      </c>
      <c r="C105" s="1" t="s">
        <v>105</v>
      </c>
      <c r="D105" s="1" t="s">
        <v>114</v>
      </c>
      <c r="E105" t="s">
        <v>115</v>
      </c>
      <c r="F105" s="1">
        <v>18</v>
      </c>
      <c r="G105" s="2" t="s">
        <v>323</v>
      </c>
      <c r="H105" s="2" t="str">
        <f t="shared" si="1"/>
        <v>EXECUTE [dbo].[PG_CI_ARCUSFIL_PROGRAM]  0, 0, 'WCL','2021 WL 75 CL 8 WAY',18</v>
      </c>
      <c r="I105" s="3"/>
      <c r="J105" s="3"/>
    </row>
    <row r="106" spans="1:10" x14ac:dyDescent="0.2">
      <c r="A106">
        <v>101</v>
      </c>
      <c r="B106" s="1">
        <v>18</v>
      </c>
      <c r="C106" s="1" t="s">
        <v>105</v>
      </c>
      <c r="D106" s="1" t="s">
        <v>112</v>
      </c>
      <c r="E106" t="s">
        <v>113</v>
      </c>
      <c r="F106" s="1">
        <v>18</v>
      </c>
      <c r="G106" s="2" t="s">
        <v>323</v>
      </c>
      <c r="H106" s="2" t="str">
        <f t="shared" si="1"/>
        <v>EXECUTE [dbo].[PG_CI_ARCUSFIL_PROGRAM]  0, 0, 'WDL','2021 WL 75 DL LIMITED',18</v>
      </c>
      <c r="I106" s="3"/>
      <c r="J106" s="3"/>
    </row>
    <row r="107" spans="1:10" x14ac:dyDescent="0.2">
      <c r="A107">
        <v>102</v>
      </c>
      <c r="B107" s="1">
        <v>18</v>
      </c>
      <c r="C107" s="1" t="s">
        <v>105</v>
      </c>
      <c r="D107" s="1" t="s">
        <v>110</v>
      </c>
      <c r="E107" t="s">
        <v>111</v>
      </c>
      <c r="F107" s="1">
        <v>18</v>
      </c>
      <c r="G107" s="2" t="s">
        <v>323</v>
      </c>
      <c r="H107" s="2" t="str">
        <f t="shared" si="1"/>
        <v>EXECUTE [dbo].[PG_CI_ARCUSFIL_PROGRAM]  0, 0, 'WEC','2021 WL 75 EC SUMMIT',18</v>
      </c>
      <c r="I107" s="3"/>
    </row>
    <row r="108" spans="1:10" x14ac:dyDescent="0.2">
      <c r="A108">
        <v>103</v>
      </c>
      <c r="B108" s="1">
        <v>18</v>
      </c>
      <c r="C108" s="1" t="s">
        <v>105</v>
      </c>
      <c r="D108" s="1" t="s">
        <v>108</v>
      </c>
      <c r="E108" t="s">
        <v>109</v>
      </c>
      <c r="F108" s="1">
        <v>18</v>
      </c>
      <c r="G108" s="2" t="s">
        <v>323</v>
      </c>
      <c r="H108" s="2" t="str">
        <f t="shared" si="1"/>
        <v>EXECUTE [dbo].[PG_CI_ARCUSFIL_PROGRAM]  0, 0, 'WLB','2021 WL 75 BL OVERLAND',18</v>
      </c>
      <c r="I108" s="3"/>
      <c r="J108" s="3"/>
    </row>
    <row r="109" spans="1:10" x14ac:dyDescent="0.2">
      <c r="A109">
        <v>104</v>
      </c>
      <c r="B109" s="1">
        <v>18</v>
      </c>
      <c r="C109" s="1" t="s">
        <v>105</v>
      </c>
      <c r="D109" s="1" t="s">
        <v>106</v>
      </c>
      <c r="E109" t="s">
        <v>107</v>
      </c>
      <c r="F109" s="1">
        <v>18</v>
      </c>
      <c r="G109" s="2" t="s">
        <v>323</v>
      </c>
      <c r="H109" s="2" t="str">
        <f t="shared" si="1"/>
        <v>EXECUTE [dbo].[PG_CI_ARCUSFIL_PROGRAM]  0, 0, 'WLK','2021 WL KL 8W BASE SRT',18</v>
      </c>
      <c r="I109" s="3"/>
    </row>
    <row r="110" spans="1:10" x14ac:dyDescent="0.2">
      <c r="A110">
        <v>105</v>
      </c>
      <c r="B110" s="1">
        <v>18</v>
      </c>
      <c r="C110" s="1" t="s">
        <v>105</v>
      </c>
      <c r="D110" s="1" t="s">
        <v>103</v>
      </c>
      <c r="E110" t="s">
        <v>104</v>
      </c>
      <c r="F110" s="1">
        <v>18</v>
      </c>
      <c r="G110" s="2" t="s">
        <v>323</v>
      </c>
      <c r="H110" s="2" t="str">
        <f t="shared" si="1"/>
        <v>EXECUTE [dbo].[PG_CI_ARCUSFIL_PROGRAM]  0, 0, 'WTL','2021 WL 75 TL 12 WAY',18</v>
      </c>
      <c r="I110" s="3"/>
    </row>
    <row r="111" spans="1:10" x14ac:dyDescent="0.2">
      <c r="A111">
        <v>106</v>
      </c>
      <c r="B111" s="1">
        <v>19</v>
      </c>
      <c r="C111" s="1" t="s">
        <v>24</v>
      </c>
      <c r="D111" s="1">
        <v>387</v>
      </c>
      <c r="E111" t="s">
        <v>102</v>
      </c>
      <c r="F111" s="1">
        <v>19</v>
      </c>
      <c r="G111" s="2" t="s">
        <v>323</v>
      </c>
      <c r="H111" s="2" t="str">
        <f t="shared" si="1"/>
        <v>EXECUTE [dbo].[PG_CI_ARCUSFIL_PROGRAM]  0, 0, '387','U387 FORD PREMIUM',19</v>
      </c>
      <c r="I111" s="3"/>
    </row>
    <row r="112" spans="1:10" x14ac:dyDescent="0.2">
      <c r="A112">
        <v>107</v>
      </c>
      <c r="B112" s="1">
        <v>19</v>
      </c>
      <c r="C112" s="1" t="s">
        <v>24</v>
      </c>
      <c r="D112" s="1" t="s">
        <v>100</v>
      </c>
      <c r="E112" t="s">
        <v>101</v>
      </c>
      <c r="F112" s="1">
        <v>19</v>
      </c>
      <c r="G112" s="2" t="s">
        <v>323</v>
      </c>
      <c r="H112" s="2" t="str">
        <f t="shared" si="1"/>
        <v>EXECUTE [dbo].[PG_CI_ARCUSFIL_PROGRAM]  0, 0, '3SU','GMT 315 SUV',19</v>
      </c>
      <c r="I112" s="3"/>
      <c r="J112" s="2"/>
    </row>
    <row r="113" spans="1:10" x14ac:dyDescent="0.2">
      <c r="A113">
        <v>108</v>
      </c>
      <c r="B113" s="1">
        <v>19</v>
      </c>
      <c r="C113" s="1" t="s">
        <v>24</v>
      </c>
      <c r="D113" s="1" t="s">
        <v>98</v>
      </c>
      <c r="E113" t="s">
        <v>99</v>
      </c>
      <c r="F113" s="1">
        <v>19</v>
      </c>
      <c r="G113" s="2" t="s">
        <v>323</v>
      </c>
      <c r="H113" s="2" t="str">
        <f t="shared" si="1"/>
        <v>EXECUTE [dbo].[PG_CI_ARCUSFIL_PROGRAM]  0, 0, 'FCE','U387 FORD CUTTING EDGE',19</v>
      </c>
      <c r="I113" s="3"/>
    </row>
    <row r="114" spans="1:10" x14ac:dyDescent="0.2">
      <c r="A114">
        <v>109</v>
      </c>
      <c r="B114" s="1">
        <v>19</v>
      </c>
      <c r="C114" s="1" t="s">
        <v>24</v>
      </c>
      <c r="D114" s="1" t="s">
        <v>96</v>
      </c>
      <c r="E114" t="s">
        <v>97</v>
      </c>
      <c r="F114" s="1">
        <v>19</v>
      </c>
      <c r="G114" s="2" t="s">
        <v>323</v>
      </c>
      <c r="H114" s="2" t="str">
        <f t="shared" si="1"/>
        <v>EXECUTE [dbo].[PG_CI_ARCUSFIL_PROGRAM]  0, 0, 'GRE','U387 FORD GREY',19</v>
      </c>
      <c r="I114" s="3"/>
      <c r="J114" s="3"/>
    </row>
    <row r="115" spans="1:10" x14ac:dyDescent="0.2">
      <c r="A115">
        <v>110</v>
      </c>
      <c r="B115" s="1">
        <v>19</v>
      </c>
      <c r="C115" s="1" t="s">
        <v>24</v>
      </c>
      <c r="D115" s="1" t="s">
        <v>94</v>
      </c>
      <c r="E115" t="s">
        <v>95</v>
      </c>
      <c r="F115" s="1">
        <v>19</v>
      </c>
      <c r="G115" s="2" t="s">
        <v>323</v>
      </c>
      <c r="H115" s="2" t="str">
        <f t="shared" si="1"/>
        <v>EXECUTE [dbo].[PG_CI_ARCUSFIL_PROGRAM]  0, 0, 'L88','U388 LINCOLN LIMITED',19</v>
      </c>
      <c r="I115" s="3"/>
      <c r="J115" s="3"/>
    </row>
    <row r="116" spans="1:10" x14ac:dyDescent="0.2">
      <c r="A116">
        <v>111</v>
      </c>
      <c r="B116" s="1">
        <v>19</v>
      </c>
      <c r="C116" s="1" t="s">
        <v>24</v>
      </c>
      <c r="D116" s="1" t="s">
        <v>92</v>
      </c>
      <c r="E116" t="s">
        <v>93</v>
      </c>
      <c r="F116" s="1">
        <v>19</v>
      </c>
      <c r="G116" s="2" t="s">
        <v>323</v>
      </c>
      <c r="H116" s="2" t="str">
        <f t="shared" si="1"/>
        <v>EXECUTE [dbo].[PG_CI_ARCUSFIL_PROGRAM]  0, 0, 'PL2','U387 FORD SEL 2011 PLM',19</v>
      </c>
      <c r="I116" s="3"/>
    </row>
    <row r="117" spans="1:10" x14ac:dyDescent="0.2">
      <c r="A117">
        <v>112</v>
      </c>
      <c r="B117" s="1">
        <v>19</v>
      </c>
      <c r="C117" s="1" t="s">
        <v>24</v>
      </c>
      <c r="D117" s="1" t="s">
        <v>90</v>
      </c>
      <c r="E117" t="s">
        <v>91</v>
      </c>
      <c r="F117" s="1">
        <v>19</v>
      </c>
      <c r="G117" s="2" t="s">
        <v>323</v>
      </c>
      <c r="H117" s="2" t="str">
        <f t="shared" si="1"/>
        <v>EXECUTE [dbo].[PG_CI_ARCUSFIL_PROGRAM]  0, 0, 'PL3','U388 LINCOLN BASE 2012',19</v>
      </c>
      <c r="I117" s="3"/>
      <c r="J117" s="3"/>
    </row>
    <row r="118" spans="1:10" x14ac:dyDescent="0.2">
      <c r="A118">
        <v>113</v>
      </c>
      <c r="B118" s="1">
        <v>19</v>
      </c>
      <c r="C118" s="1" t="s">
        <v>24</v>
      </c>
      <c r="D118" s="1" t="s">
        <v>88</v>
      </c>
      <c r="E118" t="s">
        <v>89</v>
      </c>
      <c r="F118" s="1">
        <v>19</v>
      </c>
      <c r="G118" s="2" t="s">
        <v>323</v>
      </c>
      <c r="H118" s="2" t="str">
        <f t="shared" si="1"/>
        <v>EXECUTE [dbo].[PG_CI_ARCUSFIL_PROGRAM]  0, 0, 'PL4','D471 SEL 2012',19</v>
      </c>
      <c r="I118" s="3"/>
      <c r="J118" s="3"/>
    </row>
    <row r="119" spans="1:10" x14ac:dyDescent="0.2">
      <c r="A119">
        <v>114</v>
      </c>
      <c r="B119" s="1">
        <v>19</v>
      </c>
      <c r="C119" s="1" t="s">
        <v>24</v>
      </c>
      <c r="D119" s="1" t="s">
        <v>86</v>
      </c>
      <c r="E119" t="s">
        <v>87</v>
      </c>
      <c r="F119" s="1">
        <v>19</v>
      </c>
      <c r="G119" s="2" t="s">
        <v>323</v>
      </c>
      <c r="H119" s="2" t="str">
        <f t="shared" si="1"/>
        <v>EXECUTE [dbo].[PG_CI_ARCUSFIL_PROGRAM]  0, 0, 'PL5','D471 LTD 2012',19</v>
      </c>
      <c r="I119" s="3"/>
    </row>
    <row r="120" spans="1:10" x14ac:dyDescent="0.2">
      <c r="A120">
        <v>115</v>
      </c>
      <c r="B120" s="1">
        <v>19</v>
      </c>
      <c r="C120" s="1" t="s">
        <v>24</v>
      </c>
      <c r="D120" s="1" t="s">
        <v>84</v>
      </c>
      <c r="E120" t="s">
        <v>85</v>
      </c>
      <c r="F120" s="1">
        <v>19</v>
      </c>
      <c r="G120" s="2" t="s">
        <v>323</v>
      </c>
      <c r="H120" s="2" t="str">
        <f t="shared" si="1"/>
        <v>EXECUTE [dbo].[PG_CI_ARCUSFIL_PROGRAM]  0, 0, 'PL6','U388 LINCOLN ULTIMATE',19</v>
      </c>
      <c r="I120" s="3"/>
    </row>
    <row r="121" spans="1:10" x14ac:dyDescent="0.2">
      <c r="A121">
        <v>116</v>
      </c>
      <c r="B121" s="1">
        <v>19</v>
      </c>
      <c r="C121" s="1" t="s">
        <v>24</v>
      </c>
      <c r="D121" s="1" t="s">
        <v>81</v>
      </c>
      <c r="E121" t="s">
        <v>83</v>
      </c>
      <c r="F121" s="1">
        <v>19</v>
      </c>
      <c r="G121" s="2" t="s">
        <v>323</v>
      </c>
      <c r="H121" s="2" t="str">
        <f t="shared" si="1"/>
        <v>EXECUTE [dbo].[PG_CI_ARCUSFIL_PROGRAM]  0, 0, 'PL7','U387 FORD SEL 2012',19</v>
      </c>
      <c r="I121" s="3"/>
      <c r="J121" s="3"/>
    </row>
    <row r="122" spans="1:10" x14ac:dyDescent="0.2">
      <c r="A122">
        <v>117</v>
      </c>
      <c r="B122" s="1">
        <v>19</v>
      </c>
      <c r="C122" s="1" t="s">
        <v>24</v>
      </c>
      <c r="D122" s="1" t="s">
        <v>81</v>
      </c>
      <c r="E122" t="s">
        <v>82</v>
      </c>
      <c r="F122" s="1">
        <v>19</v>
      </c>
      <c r="G122" s="2" t="s">
        <v>323</v>
      </c>
      <c r="H122" s="2" t="str">
        <f t="shared" si="1"/>
        <v>EXECUTE [dbo].[PG_CI_ARCUSFIL_PROGRAM]  0, 0, 'PL7','U387 FORD SEL 2013',19</v>
      </c>
      <c r="I122" s="3"/>
      <c r="J122" s="3"/>
    </row>
    <row r="123" spans="1:10" x14ac:dyDescent="0.2">
      <c r="A123">
        <v>118</v>
      </c>
      <c r="B123" s="1">
        <v>19</v>
      </c>
      <c r="C123" s="1" t="s">
        <v>24</v>
      </c>
      <c r="D123" s="1" t="s">
        <v>79</v>
      </c>
      <c r="E123" t="s">
        <v>80</v>
      </c>
      <c r="F123" s="1">
        <v>19</v>
      </c>
      <c r="G123" s="2" t="s">
        <v>323</v>
      </c>
      <c r="H123" s="2" t="str">
        <f t="shared" si="1"/>
        <v>EXECUTE [dbo].[PG_CI_ARCUSFIL_PROGRAM]  0, 0, 'PL8','U387 FORD SPORT 2012',19</v>
      </c>
      <c r="I123" s="3"/>
      <c r="J123" s="3"/>
    </row>
    <row r="124" spans="1:10" x14ac:dyDescent="0.2">
      <c r="A124">
        <v>119</v>
      </c>
      <c r="B124" s="1">
        <v>19</v>
      </c>
      <c r="C124" s="1" t="s">
        <v>24</v>
      </c>
      <c r="D124" s="1" t="s">
        <v>77</v>
      </c>
      <c r="E124" t="s">
        <v>78</v>
      </c>
      <c r="F124" s="1">
        <v>19</v>
      </c>
      <c r="G124" s="2" t="s">
        <v>323</v>
      </c>
      <c r="H124" s="2" t="str">
        <f t="shared" si="1"/>
        <v>EXECUTE [dbo].[PG_CI_ARCUSFIL_PROGRAM]  0, 0, 'PL9','U387 FORD SPORT 2011',19</v>
      </c>
      <c r="I124" s="3"/>
      <c r="J124" s="3"/>
    </row>
    <row r="125" spans="1:10" x14ac:dyDescent="0.2">
      <c r="A125">
        <v>120</v>
      </c>
      <c r="B125" s="1">
        <v>19</v>
      </c>
      <c r="C125" s="1" t="s">
        <v>24</v>
      </c>
      <c r="D125" s="1" t="s">
        <v>75</v>
      </c>
      <c r="E125" t="s">
        <v>76</v>
      </c>
      <c r="F125" s="1">
        <v>19</v>
      </c>
      <c r="G125" s="2" t="s">
        <v>323</v>
      </c>
      <c r="H125" s="2" t="str">
        <f t="shared" si="1"/>
        <v>EXECUTE [dbo].[PG_CI_ARCUSFIL_PROGRAM]  0, 0, 'PLB','U388 HEADREST 2012',19</v>
      </c>
      <c r="I125" s="3"/>
      <c r="J125" s="3"/>
    </row>
    <row r="126" spans="1:10" x14ac:dyDescent="0.2">
      <c r="A126">
        <v>121</v>
      </c>
      <c r="B126" s="1">
        <v>19</v>
      </c>
      <c r="C126" s="1" t="s">
        <v>24</v>
      </c>
      <c r="D126" s="1" t="s">
        <v>73</v>
      </c>
      <c r="E126" t="s">
        <v>74</v>
      </c>
      <c r="F126" s="1">
        <v>19</v>
      </c>
      <c r="G126" s="2" t="s">
        <v>323</v>
      </c>
      <c r="H126" s="2" t="str">
        <f t="shared" si="1"/>
        <v>EXECUTE [dbo].[PG_CI_ARCUSFIL_PROGRAM]  0, 0, 'PLC','D471 LTD PLATINIUM',19</v>
      </c>
      <c r="I126" s="3"/>
    </row>
    <row r="127" spans="1:10" x14ac:dyDescent="0.2">
      <c r="A127">
        <v>122</v>
      </c>
      <c r="B127" s="1">
        <v>19</v>
      </c>
      <c r="C127" s="1" t="s">
        <v>24</v>
      </c>
      <c r="D127" s="1" t="s">
        <v>71</v>
      </c>
      <c r="E127" t="s">
        <v>72</v>
      </c>
      <c r="F127" s="1">
        <v>19</v>
      </c>
      <c r="G127" s="2" t="s">
        <v>323</v>
      </c>
      <c r="H127" s="2" t="str">
        <f t="shared" si="1"/>
        <v>EXECUTE [dbo].[PG_CI_ARCUSFIL_PROGRAM]  0, 0, 'PLD','D471 SEL 2013',19</v>
      </c>
      <c r="I127" s="3"/>
      <c r="J127" s="3"/>
    </row>
    <row r="128" spans="1:10" x14ac:dyDescent="0.2">
      <c r="A128">
        <v>123</v>
      </c>
      <c r="B128" s="1">
        <v>19</v>
      </c>
      <c r="C128" s="1" t="s">
        <v>24</v>
      </c>
      <c r="D128" s="1" t="s">
        <v>69</v>
      </c>
      <c r="E128" t="s">
        <v>70</v>
      </c>
      <c r="F128" s="1">
        <v>19</v>
      </c>
      <c r="G128" s="2" t="s">
        <v>323</v>
      </c>
      <c r="H128" s="2" t="str">
        <f t="shared" si="1"/>
        <v>EXECUTE [dbo].[PG_CI_ARCUSFIL_PROGRAM]  0, 0, 'PLE','D471 LTD 2013',19</v>
      </c>
      <c r="I128" s="3"/>
      <c r="J128" s="3"/>
    </row>
    <row r="129" spans="1:10" x14ac:dyDescent="0.2">
      <c r="A129">
        <v>124</v>
      </c>
      <c r="B129" s="1">
        <v>19</v>
      </c>
      <c r="C129" s="1" t="s">
        <v>24</v>
      </c>
      <c r="D129" s="1" t="s">
        <v>67</v>
      </c>
      <c r="E129" t="s">
        <v>68</v>
      </c>
      <c r="F129" s="1">
        <v>19</v>
      </c>
      <c r="G129" s="2" t="s">
        <v>323</v>
      </c>
      <c r="H129" s="2" t="str">
        <f t="shared" si="1"/>
        <v>EXECUTE [dbo].[PG_CI_ARCUSFIL_PROGRAM]  0, 0, 'PLS','D471 2016 SALERNO',19</v>
      </c>
      <c r="I129" s="3"/>
      <c r="J129" s="3"/>
    </row>
    <row r="130" spans="1:10" x14ac:dyDescent="0.2">
      <c r="A130">
        <v>125</v>
      </c>
      <c r="B130" s="1">
        <v>19</v>
      </c>
      <c r="C130" s="1" t="s">
        <v>24</v>
      </c>
      <c r="D130" s="1" t="s">
        <v>65</v>
      </c>
      <c r="E130" t="s">
        <v>66</v>
      </c>
      <c r="F130" s="1">
        <v>19</v>
      </c>
      <c r="G130" s="2" t="s">
        <v>323</v>
      </c>
      <c r="H130" s="2" t="str">
        <f t="shared" si="1"/>
        <v>EXECUTE [dbo].[PG_CI_ARCUSFIL_PROGRAM]  0, 0, 'PVP','U387 FORD VPP',19</v>
      </c>
      <c r="I130" s="3"/>
      <c r="J130" s="3"/>
    </row>
    <row r="131" spans="1:10" x14ac:dyDescent="0.2">
      <c r="A131">
        <v>126</v>
      </c>
      <c r="B131" s="1">
        <v>19</v>
      </c>
      <c r="C131" s="1" t="s">
        <v>24</v>
      </c>
      <c r="D131" s="1" t="s">
        <v>63</v>
      </c>
      <c r="E131" t="s">
        <v>64</v>
      </c>
      <c r="F131" s="1">
        <v>19</v>
      </c>
      <c r="G131" s="2" t="s">
        <v>323</v>
      </c>
      <c r="H131" s="2" t="str">
        <f t="shared" si="1"/>
        <v>EXECUTE [dbo].[PG_CI_ARCUSFIL_PROGRAM]  0, 0, 'RDL','2021 RU DL PINNACLE',19</v>
      </c>
      <c r="I131" s="3"/>
      <c r="J131" s="3"/>
    </row>
    <row r="132" spans="1:10" x14ac:dyDescent="0.2">
      <c r="A132">
        <v>127</v>
      </c>
      <c r="B132" s="1">
        <v>19</v>
      </c>
      <c r="C132" s="1" t="s">
        <v>24</v>
      </c>
      <c r="D132" s="1" t="s">
        <v>61</v>
      </c>
      <c r="E132" t="s">
        <v>62</v>
      </c>
      <c r="F132" s="1">
        <v>19</v>
      </c>
      <c r="G132" s="2" t="s">
        <v>323</v>
      </c>
      <c r="H132" s="2" t="str">
        <f t="shared" si="1"/>
        <v>EXECUTE [dbo].[PG_CI_ARCUSFIL_PROGRAM]  0, 0, 'RUA','2016 RU OPCION AL',19</v>
      </c>
      <c r="I132" s="3"/>
      <c r="J132" s="3"/>
    </row>
    <row r="133" spans="1:10" x14ac:dyDescent="0.2">
      <c r="A133">
        <v>128</v>
      </c>
      <c r="B133" s="1">
        <v>19</v>
      </c>
      <c r="C133" s="1" t="s">
        <v>24</v>
      </c>
      <c r="D133" s="1" t="s">
        <v>59</v>
      </c>
      <c r="E133" t="s">
        <v>60</v>
      </c>
      <c r="F133" s="1">
        <v>19</v>
      </c>
      <c r="G133" s="2" t="s">
        <v>323</v>
      </c>
      <c r="H133" s="2" t="str">
        <f t="shared" si="1"/>
        <v>EXECUTE [dbo].[PG_CI_ARCUSFIL_PROGRAM]  0, 0, 'RUE','2016 RU OPCION EL',19</v>
      </c>
      <c r="I133" s="3"/>
      <c r="J133" s="3"/>
    </row>
    <row r="134" spans="1:10" x14ac:dyDescent="0.2">
      <c r="A134">
        <v>129</v>
      </c>
      <c r="B134" s="1">
        <v>19</v>
      </c>
      <c r="C134" s="1" t="s">
        <v>24</v>
      </c>
      <c r="D134" s="1" t="s">
        <v>57</v>
      </c>
      <c r="E134" t="s">
        <v>58</v>
      </c>
      <c r="F134" s="1">
        <v>19</v>
      </c>
      <c r="G134" s="2" t="s">
        <v>323</v>
      </c>
      <c r="H134" s="2" t="str">
        <f t="shared" si="1"/>
        <v>EXECUTE [dbo].[PG_CI_ARCUSFIL_PROGRAM]  0, 0, 'RUM','2016 RU OPCION ML',19</v>
      </c>
      <c r="I134" s="3"/>
      <c r="J134" s="3"/>
    </row>
    <row r="135" spans="1:10" x14ac:dyDescent="0.2">
      <c r="A135">
        <v>130</v>
      </c>
      <c r="B135" s="1">
        <v>19</v>
      </c>
      <c r="C135" s="1" t="s">
        <v>24</v>
      </c>
      <c r="D135" s="1" t="s">
        <v>55</v>
      </c>
      <c r="E135" t="s">
        <v>56</v>
      </c>
      <c r="F135" s="1">
        <v>19</v>
      </c>
      <c r="G135" s="2" t="s">
        <v>323</v>
      </c>
      <c r="H135" s="2" t="str">
        <f t="shared" ref="H135:H159" si="2">_xlfn.CONCAT(G135,"'",D135,"'",$H$5,"'",TRIM(E135),"'",$H$5,F135)</f>
        <v>EXECUTE [dbo].[PG_CI_ARCUSFIL_PROGRAM]  0, 0, 'SL3','2013 U387 SEL',19</v>
      </c>
      <c r="I135" s="3"/>
      <c r="J135" s="3"/>
    </row>
    <row r="136" spans="1:10" x14ac:dyDescent="0.2">
      <c r="A136">
        <v>131</v>
      </c>
      <c r="B136" s="1">
        <v>19</v>
      </c>
      <c r="C136" s="1" t="s">
        <v>24</v>
      </c>
      <c r="D136" s="1" t="s">
        <v>53</v>
      </c>
      <c r="E136" t="s">
        <v>54</v>
      </c>
      <c r="F136" s="1">
        <v>19</v>
      </c>
      <c r="G136" s="2" t="s">
        <v>323</v>
      </c>
      <c r="H136" s="2" t="str">
        <f t="shared" si="2"/>
        <v>EXECUTE [dbo].[PG_CI_ARCUSFIL_PROGRAM]  0, 0, 'U54','U540 VINYL LAMINATION',19</v>
      </c>
      <c r="I136" s="3"/>
      <c r="J136" s="3"/>
    </row>
    <row r="137" spans="1:10" x14ac:dyDescent="0.2">
      <c r="A137">
        <v>132</v>
      </c>
      <c r="B137" s="1">
        <v>19</v>
      </c>
      <c r="C137" s="1" t="s">
        <v>24</v>
      </c>
      <c r="D137" s="1" t="s">
        <v>51</v>
      </c>
      <c r="E137" t="s">
        <v>52</v>
      </c>
      <c r="F137" s="1">
        <v>19</v>
      </c>
      <c r="G137" s="2" t="s">
        <v>323</v>
      </c>
      <c r="H137" s="2" t="str">
        <f t="shared" si="2"/>
        <v>EXECUTE [dbo].[PG_CI_ARCUSFIL_PROGRAM]  0, 0, 'WBL','2017 WK BL',19</v>
      </c>
      <c r="I137" s="3"/>
    </row>
    <row r="138" spans="1:10" x14ac:dyDescent="0.2">
      <c r="A138">
        <v>133</v>
      </c>
      <c r="B138" s="1">
        <v>19</v>
      </c>
      <c r="C138" s="1" t="s">
        <v>24</v>
      </c>
      <c r="D138" s="1" t="s">
        <v>49</v>
      </c>
      <c r="E138" t="s">
        <v>50</v>
      </c>
      <c r="F138" s="1">
        <v>19</v>
      </c>
      <c r="G138" s="2" t="s">
        <v>323</v>
      </c>
      <c r="H138" s="2" t="str">
        <f t="shared" si="2"/>
        <v>EXECUTE [dbo].[PG_CI_ARCUSFIL_PROGRAM]  0, 0, 'WD2','2017 WD ML DOS TONOS',19</v>
      </c>
      <c r="I138" s="3"/>
      <c r="J138" s="3"/>
    </row>
    <row r="139" spans="1:10" x14ac:dyDescent="0.2">
      <c r="A139">
        <v>134</v>
      </c>
      <c r="B139" s="1">
        <v>19</v>
      </c>
      <c r="C139" s="1" t="s">
        <v>24</v>
      </c>
      <c r="D139" s="1" t="s">
        <v>47</v>
      </c>
      <c r="E139" t="s">
        <v>48</v>
      </c>
      <c r="F139" s="1">
        <v>19</v>
      </c>
      <c r="G139" s="2" t="s">
        <v>323</v>
      </c>
      <c r="H139" s="2" t="str">
        <f t="shared" si="2"/>
        <v>EXECUTE [dbo].[PG_CI_ARCUSFIL_PROGRAM]  0, 0, 'WDM','2017 WD ML',19</v>
      </c>
      <c r="I139" s="3"/>
      <c r="J139" s="3"/>
    </row>
    <row r="140" spans="1:10" x14ac:dyDescent="0.2">
      <c r="A140">
        <v>135</v>
      </c>
      <c r="B140" s="1">
        <v>19</v>
      </c>
      <c r="C140" s="1" t="s">
        <v>24</v>
      </c>
      <c r="D140" s="1" t="s">
        <v>45</v>
      </c>
      <c r="E140" t="s">
        <v>46</v>
      </c>
      <c r="F140" s="1">
        <v>19</v>
      </c>
      <c r="G140" s="2" t="s">
        <v>323</v>
      </c>
      <c r="H140" s="2" t="str">
        <f t="shared" si="2"/>
        <v>EXECUTE [dbo].[PG_CI_ARCUSFIL_PROGRAM]  0, 0, 'WEL','2017 WK-EL RESERVE',19</v>
      </c>
      <c r="I140" s="3"/>
      <c r="J140" s="2"/>
    </row>
    <row r="141" spans="1:10" x14ac:dyDescent="0.2">
      <c r="A141">
        <v>136</v>
      </c>
      <c r="B141" s="1">
        <v>19</v>
      </c>
      <c r="C141" s="1" t="s">
        <v>24</v>
      </c>
      <c r="D141" s="1" t="s">
        <v>43</v>
      </c>
      <c r="E141" t="s">
        <v>44</v>
      </c>
      <c r="F141" s="1">
        <v>19</v>
      </c>
      <c r="G141" s="2" t="s">
        <v>323</v>
      </c>
      <c r="H141" s="2" t="str">
        <f t="shared" si="2"/>
        <v>EXECUTE [dbo].[PG_CI_ARCUSFIL_PROGRAM]  0, 0, 'WKG','2014 WK JEEP GL/DL',19</v>
      </c>
      <c r="I141" s="3"/>
    </row>
    <row r="142" spans="1:10" x14ac:dyDescent="0.2">
      <c r="A142">
        <v>137</v>
      </c>
      <c r="B142" s="1">
        <v>19</v>
      </c>
      <c r="C142" s="1" t="s">
        <v>24</v>
      </c>
      <c r="D142" s="1" t="s">
        <v>41</v>
      </c>
      <c r="E142" t="s">
        <v>42</v>
      </c>
      <c r="F142" s="1">
        <v>19</v>
      </c>
      <c r="G142" s="2" t="s">
        <v>323</v>
      </c>
      <c r="H142" s="2" t="str">
        <f t="shared" si="2"/>
        <v>EXECUTE [dbo].[PG_CI_ARCUSFIL_PROGRAM]  0, 0, 'WKJ','2017 WK CJ',19</v>
      </c>
      <c r="I142" s="3"/>
      <c r="J142" s="3"/>
    </row>
    <row r="143" spans="1:10" x14ac:dyDescent="0.2">
      <c r="A143">
        <v>138</v>
      </c>
      <c r="B143" s="1">
        <v>19</v>
      </c>
      <c r="C143" s="1" t="s">
        <v>24</v>
      </c>
      <c r="D143" s="1" t="s">
        <v>39</v>
      </c>
      <c r="E143" t="s">
        <v>40</v>
      </c>
      <c r="F143" s="1">
        <v>19</v>
      </c>
      <c r="G143" s="2" t="s">
        <v>323</v>
      </c>
      <c r="H143" s="2" t="str">
        <f t="shared" si="2"/>
        <v>EXECUTE [dbo].[PG_CI_ARCUSFIL_PROGRAM]  0, 0, 'WKL','2015 WK KL ALTITUDE II',19</v>
      </c>
      <c r="I143" s="3"/>
      <c r="J143" s="3"/>
    </row>
    <row r="144" spans="1:10" x14ac:dyDescent="0.2">
      <c r="A144">
        <v>139</v>
      </c>
      <c r="B144" s="1">
        <v>19</v>
      </c>
      <c r="C144" s="1" t="s">
        <v>24</v>
      </c>
      <c r="D144" s="1" t="s">
        <v>37</v>
      </c>
      <c r="E144" t="s">
        <v>38</v>
      </c>
      <c r="F144" s="1">
        <v>19</v>
      </c>
      <c r="G144" s="2" t="s">
        <v>323</v>
      </c>
      <c r="H144" s="2" t="str">
        <f t="shared" si="2"/>
        <v>EXECUTE [dbo].[PG_CI_ARCUSFIL_PROGRAM]  0, 0, 'WKT','2014 WK JEEP GL/DL TWO TONES',19</v>
      </c>
      <c r="I144" s="3"/>
      <c r="J144" s="3"/>
    </row>
    <row r="145" spans="1:12" x14ac:dyDescent="0.2">
      <c r="A145">
        <v>140</v>
      </c>
      <c r="B145" s="1">
        <v>19</v>
      </c>
      <c r="C145" s="1" t="s">
        <v>24</v>
      </c>
      <c r="D145" s="1" t="s">
        <v>35</v>
      </c>
      <c r="E145" t="s">
        <v>36</v>
      </c>
      <c r="F145" s="1">
        <v>19</v>
      </c>
      <c r="G145" s="2" t="s">
        <v>323</v>
      </c>
      <c r="H145" s="2" t="str">
        <f t="shared" si="2"/>
        <v>EXECUTE [dbo].[PG_CI_ARCUSFIL_PROGRAM]  0, 0, 'WKU','2014 WK JEEP UL',19</v>
      </c>
      <c r="I145" s="3"/>
      <c r="J145" s="3"/>
    </row>
    <row r="146" spans="1:12" x14ac:dyDescent="0.2">
      <c r="A146">
        <v>141</v>
      </c>
      <c r="B146" s="1">
        <v>19</v>
      </c>
      <c r="C146" s="1" t="s">
        <v>24</v>
      </c>
      <c r="D146" s="1" t="s">
        <v>34</v>
      </c>
      <c r="E146" t="s">
        <v>25</v>
      </c>
      <c r="F146" s="1">
        <v>19</v>
      </c>
      <c r="G146" s="2" t="s">
        <v>323</v>
      </c>
      <c r="H146" s="2" t="str">
        <f t="shared" si="2"/>
        <v>EXECUTE [dbo].[PG_CI_ARCUSFIL_PROGRAM]  0, 0, 'WKY','2018 WK YL',19</v>
      </c>
      <c r="I146" s="3"/>
      <c r="J146" s="2"/>
    </row>
    <row r="147" spans="1:12" x14ac:dyDescent="0.2">
      <c r="A147">
        <v>142</v>
      </c>
      <c r="B147" s="1">
        <v>19</v>
      </c>
      <c r="C147" s="1" t="s">
        <v>24</v>
      </c>
      <c r="D147" s="1" t="s">
        <v>32</v>
      </c>
      <c r="E147" t="s">
        <v>33</v>
      </c>
      <c r="F147" s="1">
        <v>19</v>
      </c>
      <c r="G147" s="2" t="s">
        <v>323</v>
      </c>
      <c r="H147" s="2" t="str">
        <f t="shared" si="2"/>
        <v>EXECUTE [dbo].[PG_CI_ARCUSFIL_PROGRAM]  0, 0, 'WKZ','2014 WK DZ(SRT)',19</v>
      </c>
      <c r="I147" s="3"/>
      <c r="J147" s="3"/>
    </row>
    <row r="148" spans="1:12" x14ac:dyDescent="0.2">
      <c r="A148">
        <v>144</v>
      </c>
      <c r="B148" s="1">
        <v>19</v>
      </c>
      <c r="C148" s="1" t="s">
        <v>24</v>
      </c>
      <c r="D148" s="1" t="s">
        <v>30</v>
      </c>
      <c r="E148" t="s">
        <v>31</v>
      </c>
      <c r="F148" s="1">
        <v>19</v>
      </c>
      <c r="G148" s="2" t="s">
        <v>323</v>
      </c>
      <c r="H148" s="2" t="str">
        <f t="shared" si="2"/>
        <v>EXECUTE [dbo].[PG_CI_ARCUSFIL_PROGRAM]  0, 0, 'WNL','2018 WK NL',19</v>
      </c>
      <c r="I148" s="3"/>
      <c r="J148" s="3"/>
    </row>
    <row r="149" spans="1:12" x14ac:dyDescent="0.2">
      <c r="A149">
        <v>145</v>
      </c>
      <c r="B149" s="1">
        <v>19</v>
      </c>
      <c r="C149" s="1" t="s">
        <v>24</v>
      </c>
      <c r="D149" s="1" t="s">
        <v>28</v>
      </c>
      <c r="E149" t="s">
        <v>29</v>
      </c>
      <c r="F149" s="1">
        <v>19</v>
      </c>
      <c r="G149" s="2" t="s">
        <v>323</v>
      </c>
      <c r="H149" s="2" t="str">
        <f t="shared" si="2"/>
        <v>EXECUTE [dbo].[PG_CI_ARCUSFIL_PROGRAM]  0, 0, 'WPL','2018 WD PL',19</v>
      </c>
      <c r="J149" s="3"/>
    </row>
    <row r="150" spans="1:12" x14ac:dyDescent="0.2">
      <c r="A150">
        <v>146</v>
      </c>
      <c r="B150" s="1">
        <v>19</v>
      </c>
      <c r="C150" s="1" t="s">
        <v>24</v>
      </c>
      <c r="D150" s="1" t="s">
        <v>26</v>
      </c>
      <c r="E150" t="s">
        <v>27</v>
      </c>
      <c r="F150" s="1">
        <v>19</v>
      </c>
      <c r="G150" s="2" t="s">
        <v>323</v>
      </c>
      <c r="H150" s="2" t="str">
        <f t="shared" si="2"/>
        <v>EXECUTE [dbo].[PG_CI_ARCUSFIL_PROGRAM]  0, 0, 'WSL','2019 WS JEEP AL',19</v>
      </c>
      <c r="I150" s="3"/>
      <c r="J150" s="3"/>
    </row>
    <row r="151" spans="1:12" x14ac:dyDescent="0.2">
      <c r="A151">
        <v>147</v>
      </c>
      <c r="B151" s="1">
        <v>19</v>
      </c>
      <c r="C151" s="1" t="s">
        <v>24</v>
      </c>
      <c r="D151" s="1" t="s">
        <v>22</v>
      </c>
      <c r="E151" t="s">
        <v>23</v>
      </c>
      <c r="F151" s="1">
        <v>19</v>
      </c>
      <c r="G151" s="2" t="s">
        <v>323</v>
      </c>
      <c r="H151" s="2" t="str">
        <f t="shared" si="2"/>
        <v>EXECUTE [dbo].[PG_CI_ARCUSFIL_PROGRAM]  0, 0, 'XYZ','WK TEST',19</v>
      </c>
      <c r="I151" s="3"/>
      <c r="J151" s="3"/>
    </row>
    <row r="152" spans="1:12" x14ac:dyDescent="0.2">
      <c r="A152">
        <v>148</v>
      </c>
      <c r="B152" s="1">
        <v>41</v>
      </c>
      <c r="C152" s="1" t="s">
        <v>21</v>
      </c>
      <c r="D152" s="1" t="s">
        <v>19</v>
      </c>
      <c r="E152" t="s">
        <v>20</v>
      </c>
      <c r="F152" s="1">
        <v>41</v>
      </c>
      <c r="G152" s="2" t="s">
        <v>323</v>
      </c>
      <c r="H152" s="2" t="str">
        <f t="shared" si="2"/>
        <v>EXECUTE [dbo].[PG_CI_ARCUSFIL_PROGRAM]  0, 0, 'MYS','U388 HEADREST',41</v>
      </c>
      <c r="I152" s="3"/>
      <c r="J152" s="3"/>
    </row>
    <row r="153" spans="1:12" x14ac:dyDescent="0.2">
      <c r="A153">
        <v>149</v>
      </c>
      <c r="B153" s="1">
        <v>27</v>
      </c>
      <c r="C153" s="1" t="s">
        <v>18</v>
      </c>
      <c r="D153" s="1" t="s">
        <v>16</v>
      </c>
      <c r="E153" t="s">
        <v>17</v>
      </c>
      <c r="F153" s="1">
        <v>27</v>
      </c>
      <c r="G153" s="2" t="s">
        <v>323</v>
      </c>
      <c r="H153" s="2" t="str">
        <f t="shared" si="2"/>
        <v>EXECUTE [dbo].[PG_CI_ARCUSFIL_PROGRAM]  0, 0, 'THE','U228 NAVIGATOR HEADREST',27</v>
      </c>
    </row>
    <row r="154" spans="1:12" x14ac:dyDescent="0.2">
      <c r="A154">
        <v>150</v>
      </c>
      <c r="B154" s="1">
        <v>36</v>
      </c>
      <c r="C154" s="1" t="s">
        <v>15</v>
      </c>
      <c r="D154" s="1" t="s">
        <v>13</v>
      </c>
      <c r="E154" t="s">
        <v>14</v>
      </c>
      <c r="F154" s="1">
        <v>36</v>
      </c>
      <c r="G154" s="2" t="s">
        <v>323</v>
      </c>
      <c r="H154" s="2" t="str">
        <f t="shared" si="2"/>
        <v>EXECUTE [dbo].[PG_CI_ARCUSFIL_PROGRAM]  0, 0, 'RUP','2021 RU PINNACLE',36</v>
      </c>
    </row>
    <row r="155" spans="1:12" x14ac:dyDescent="0.2">
      <c r="A155">
        <v>151</v>
      </c>
      <c r="B155" s="1">
        <v>55</v>
      </c>
      <c r="C155" s="1" t="s">
        <v>12</v>
      </c>
      <c r="D155" s="1" t="s">
        <v>10</v>
      </c>
      <c r="E155" t="s">
        <v>11</v>
      </c>
      <c r="F155" s="1">
        <v>55</v>
      </c>
      <c r="G155" s="2" t="s">
        <v>323</v>
      </c>
      <c r="H155" s="2" t="str">
        <f t="shared" si="2"/>
        <v>EXECUTE [dbo].[PG_CI_ARCUSFIL_PROGRAM]  0, 0, 'WPI','2021 WPI WD CONSOLE LID',55</v>
      </c>
    </row>
    <row r="156" spans="1:12" x14ac:dyDescent="0.2">
      <c r="A156">
        <v>152</v>
      </c>
      <c r="B156" s="1">
        <v>53</v>
      </c>
      <c r="C156" s="1" t="s">
        <v>7</v>
      </c>
      <c r="D156" s="1" t="s">
        <v>8</v>
      </c>
      <c r="E156" t="s">
        <v>9</v>
      </c>
      <c r="F156" s="1">
        <v>53</v>
      </c>
      <c r="G156" s="2" t="s">
        <v>323</v>
      </c>
      <c r="H156" s="2" t="str">
        <f t="shared" si="2"/>
        <v>EXECUTE [dbo].[PG_CI_ARCUSFIL_PROGRAM]  0, 0, 'YWD','WS YANGFENG DOOR PANEL',53</v>
      </c>
    </row>
    <row r="157" spans="1:12" s="4" customFormat="1" x14ac:dyDescent="0.2">
      <c r="A157">
        <v>153</v>
      </c>
      <c r="B157" s="5">
        <v>53</v>
      </c>
      <c r="C157" s="5" t="s">
        <v>7</v>
      </c>
      <c r="D157" s="5" t="s">
        <v>5</v>
      </c>
      <c r="E157" s="4" t="s">
        <v>6</v>
      </c>
      <c r="F157" s="5">
        <v>53</v>
      </c>
      <c r="G157" s="2" t="s">
        <v>323</v>
      </c>
      <c r="H157" s="2" t="str">
        <f t="shared" si="2"/>
        <v>EXECUTE [dbo].[PG_CI_ARCUSFIL_PROGRAM]  0, 0, 'YWS','2021 WS JEEP GRAND WAGONEER',53</v>
      </c>
      <c r="I157" s="6"/>
      <c r="L157" s="5"/>
    </row>
    <row r="158" spans="1:12" x14ac:dyDescent="0.2">
      <c r="A158">
        <v>154</v>
      </c>
      <c r="B158" s="1">
        <v>58</v>
      </c>
      <c r="C158" s="1" t="s">
        <v>2</v>
      </c>
      <c r="D158" s="1" t="s">
        <v>3</v>
      </c>
      <c r="E158" t="s">
        <v>4</v>
      </c>
      <c r="F158" s="1">
        <v>58</v>
      </c>
      <c r="G158" s="2" t="s">
        <v>323</v>
      </c>
      <c r="H158" s="2" t="str">
        <f t="shared" si="2"/>
        <v>EXECUTE [dbo].[PG_CI_ARCUSFIL_PROGRAM]  0, 0, 'YC4','2021 WL 74 JEEP GRAND CHEROKEE',58</v>
      </c>
    </row>
    <row r="159" spans="1:12" x14ac:dyDescent="0.2">
      <c r="A159">
        <v>155</v>
      </c>
      <c r="B159" s="1">
        <v>58</v>
      </c>
      <c r="C159" s="1" t="s">
        <v>2</v>
      </c>
      <c r="D159" s="1" t="s">
        <v>0</v>
      </c>
      <c r="E159" t="s">
        <v>1</v>
      </c>
      <c r="F159" s="1">
        <v>58</v>
      </c>
      <c r="G159" s="2" t="s">
        <v>323</v>
      </c>
      <c r="H159" s="2" t="str">
        <f t="shared" si="2"/>
        <v>EXECUTE [dbo].[PG_CI_ARCUSFIL_PROGRAM]  0, 0, 'YC5','2021 WL 75 JEEP GRAND CHEROKEE',58</v>
      </c>
    </row>
  </sheetData>
  <autoFilter ref="A5:L155" xr:uid="{968F2139-A068-493B-B5E6-50DD84E9522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E8D7-04FC-41EE-B176-565ABEEA105C}">
  <dimension ref="A2:C52"/>
  <sheetViews>
    <sheetView workbookViewId="0">
      <selection activeCell="E34" sqref="E34"/>
    </sheetView>
  </sheetViews>
  <sheetFormatPr baseColWidth="10" defaultRowHeight="12.75" x14ac:dyDescent="0.2"/>
  <cols>
    <col min="2" max="3" width="18.7109375" customWidth="1"/>
  </cols>
  <sheetData>
    <row r="2" spans="1:3" x14ac:dyDescent="0.2">
      <c r="A2" t="s">
        <v>311</v>
      </c>
      <c r="B2" t="s">
        <v>349</v>
      </c>
      <c r="C2" t="s">
        <v>350</v>
      </c>
    </row>
    <row r="3" spans="1:3" x14ac:dyDescent="0.2">
      <c r="A3">
        <v>46</v>
      </c>
      <c r="B3" s="1" t="s">
        <v>307</v>
      </c>
      <c r="C3" t="s">
        <v>324</v>
      </c>
    </row>
    <row r="4" spans="1:3" x14ac:dyDescent="0.2">
      <c r="A4">
        <v>1</v>
      </c>
      <c r="B4" s="1" t="s">
        <v>304</v>
      </c>
      <c r="C4" t="s">
        <v>325</v>
      </c>
    </row>
    <row r="5" spans="1:3" x14ac:dyDescent="0.2">
      <c r="A5">
        <v>56</v>
      </c>
      <c r="B5" s="1" t="s">
        <v>301</v>
      </c>
      <c r="C5" t="s">
        <v>326</v>
      </c>
    </row>
    <row r="6" spans="1:3" x14ac:dyDescent="0.2">
      <c r="A6">
        <v>57</v>
      </c>
      <c r="B6" s="1" t="s">
        <v>298</v>
      </c>
      <c r="C6" t="s">
        <v>324</v>
      </c>
    </row>
    <row r="7" spans="1:3" x14ac:dyDescent="0.2">
      <c r="A7">
        <v>51</v>
      </c>
      <c r="B7" s="1" t="s">
        <v>283</v>
      </c>
      <c r="C7" t="s">
        <v>327</v>
      </c>
    </row>
    <row r="8" spans="1:3" x14ac:dyDescent="0.2">
      <c r="A8">
        <v>5</v>
      </c>
      <c r="B8" s="1" t="s">
        <v>280</v>
      </c>
      <c r="C8" t="s">
        <v>328</v>
      </c>
    </row>
    <row r="9" spans="1:3" x14ac:dyDescent="0.2">
      <c r="A9">
        <v>40</v>
      </c>
      <c r="B9" s="1" t="s">
        <v>277</v>
      </c>
      <c r="C9" t="s">
        <v>329</v>
      </c>
    </row>
    <row r="10" spans="1:3" x14ac:dyDescent="0.2">
      <c r="A10">
        <v>54</v>
      </c>
      <c r="B10" s="1" t="s">
        <v>273</v>
      </c>
      <c r="C10" t="s">
        <v>324</v>
      </c>
    </row>
    <row r="11" spans="1:3" x14ac:dyDescent="0.2">
      <c r="A11">
        <v>54</v>
      </c>
      <c r="B11" s="1" t="s">
        <v>273</v>
      </c>
      <c r="C11" t="s">
        <v>327</v>
      </c>
    </row>
    <row r="12" spans="1:3" x14ac:dyDescent="0.2">
      <c r="A12">
        <v>7</v>
      </c>
      <c r="B12" s="1" t="s">
        <v>235</v>
      </c>
      <c r="C12" t="s">
        <v>330</v>
      </c>
    </row>
    <row r="13" spans="1:3" x14ac:dyDescent="0.2">
      <c r="A13">
        <v>7</v>
      </c>
      <c r="B13" s="1" t="s">
        <v>235</v>
      </c>
      <c r="C13" t="s">
        <v>332</v>
      </c>
    </row>
    <row r="14" spans="1:3" x14ac:dyDescent="0.2">
      <c r="A14">
        <v>7</v>
      </c>
      <c r="B14" s="1" t="s">
        <v>235</v>
      </c>
      <c r="C14" t="s">
        <v>353</v>
      </c>
    </row>
    <row r="15" spans="1:3" x14ac:dyDescent="0.2">
      <c r="A15">
        <v>7</v>
      </c>
      <c r="B15" s="1" t="s">
        <v>235</v>
      </c>
      <c r="C15" t="s">
        <v>331</v>
      </c>
    </row>
    <row r="16" spans="1:3" x14ac:dyDescent="0.2">
      <c r="A16">
        <v>7</v>
      </c>
      <c r="B16" s="1" t="s">
        <v>235</v>
      </c>
      <c r="C16" t="s">
        <v>329</v>
      </c>
    </row>
    <row r="17" spans="1:3" x14ac:dyDescent="0.2">
      <c r="A17">
        <v>7</v>
      </c>
      <c r="B17" s="1" t="s">
        <v>235</v>
      </c>
      <c r="C17" t="s">
        <v>333</v>
      </c>
    </row>
    <row r="18" spans="1:3" x14ac:dyDescent="0.2">
      <c r="A18">
        <v>7</v>
      </c>
      <c r="B18" s="1" t="s">
        <v>235</v>
      </c>
      <c r="C18" t="s">
        <v>324</v>
      </c>
    </row>
    <row r="19" spans="1:3" x14ac:dyDescent="0.2">
      <c r="A19">
        <v>34</v>
      </c>
      <c r="B19" s="1" t="s">
        <v>226</v>
      </c>
      <c r="C19" t="s">
        <v>330</v>
      </c>
    </row>
    <row r="20" spans="1:3" x14ac:dyDescent="0.2">
      <c r="A20">
        <v>32</v>
      </c>
      <c r="B20" s="1" t="s">
        <v>223</v>
      </c>
      <c r="C20" t="s">
        <v>329</v>
      </c>
    </row>
    <row r="21" spans="1:3" x14ac:dyDescent="0.2">
      <c r="A21">
        <v>9</v>
      </c>
      <c r="B21" s="1" t="s">
        <v>217</v>
      </c>
      <c r="C21" t="s">
        <v>335</v>
      </c>
    </row>
    <row r="22" spans="1:3" x14ac:dyDescent="0.2">
      <c r="A22">
        <v>9</v>
      </c>
      <c r="B22" s="1" t="s">
        <v>217</v>
      </c>
      <c r="C22" t="s">
        <v>334</v>
      </c>
    </row>
    <row r="23" spans="1:3" x14ac:dyDescent="0.2">
      <c r="A23">
        <v>37</v>
      </c>
      <c r="B23" s="1" t="s">
        <v>202</v>
      </c>
      <c r="C23" t="s">
        <v>335</v>
      </c>
    </row>
    <row r="24" spans="1:3" x14ac:dyDescent="0.2">
      <c r="A24">
        <v>37</v>
      </c>
      <c r="B24" s="1" t="s">
        <v>202</v>
      </c>
      <c r="C24" t="s">
        <v>336</v>
      </c>
    </row>
    <row r="25" spans="1:3" x14ac:dyDescent="0.2">
      <c r="A25">
        <v>37</v>
      </c>
      <c r="B25" s="1" t="s">
        <v>202</v>
      </c>
      <c r="C25" t="s">
        <v>337</v>
      </c>
    </row>
    <row r="26" spans="1:3" x14ac:dyDescent="0.2">
      <c r="A26">
        <v>38</v>
      </c>
      <c r="B26" s="1" t="s">
        <v>197</v>
      </c>
      <c r="C26" t="s">
        <v>335</v>
      </c>
    </row>
    <row r="27" spans="1:3" x14ac:dyDescent="0.2">
      <c r="A27">
        <v>39</v>
      </c>
      <c r="B27" s="1" t="s">
        <v>194</v>
      </c>
      <c r="C27" t="s">
        <v>329</v>
      </c>
    </row>
    <row r="28" spans="1:3" x14ac:dyDescent="0.2">
      <c r="A28">
        <v>13</v>
      </c>
      <c r="B28" s="1" t="s">
        <v>175</v>
      </c>
      <c r="C28" t="s">
        <v>340</v>
      </c>
    </row>
    <row r="29" spans="1:3" x14ac:dyDescent="0.2">
      <c r="A29">
        <v>13</v>
      </c>
      <c r="B29" s="1" t="s">
        <v>175</v>
      </c>
      <c r="C29" t="s">
        <v>338</v>
      </c>
    </row>
    <row r="30" spans="1:3" x14ac:dyDescent="0.2">
      <c r="A30">
        <v>13</v>
      </c>
      <c r="B30" s="1" t="s">
        <v>175</v>
      </c>
      <c r="C30" t="s">
        <v>339</v>
      </c>
    </row>
    <row r="31" spans="1:3" x14ac:dyDescent="0.2">
      <c r="A31">
        <v>17</v>
      </c>
      <c r="B31" s="1" t="s">
        <v>136</v>
      </c>
      <c r="C31" t="s">
        <v>341</v>
      </c>
    </row>
    <row r="32" spans="1:3" x14ac:dyDescent="0.2">
      <c r="A32">
        <v>17</v>
      </c>
      <c r="B32" s="1" t="s">
        <v>136</v>
      </c>
      <c r="C32" t="s">
        <v>343</v>
      </c>
    </row>
    <row r="33" spans="1:3" x14ac:dyDescent="0.2">
      <c r="A33">
        <v>17</v>
      </c>
      <c r="B33" s="1" t="s">
        <v>136</v>
      </c>
      <c r="C33" t="s">
        <v>328</v>
      </c>
    </row>
    <row r="34" spans="1:3" x14ac:dyDescent="0.2">
      <c r="A34">
        <v>17</v>
      </c>
      <c r="B34" s="1" t="s">
        <v>136</v>
      </c>
      <c r="C34" t="s">
        <v>325</v>
      </c>
    </row>
    <row r="35" spans="1:3" x14ac:dyDescent="0.2">
      <c r="A35">
        <v>17</v>
      </c>
      <c r="B35" s="1" t="s">
        <v>136</v>
      </c>
      <c r="C35" t="s">
        <v>344</v>
      </c>
    </row>
    <row r="36" spans="1:3" x14ac:dyDescent="0.2">
      <c r="A36">
        <v>17</v>
      </c>
      <c r="B36" s="1" t="s">
        <v>136</v>
      </c>
      <c r="C36" t="s">
        <v>342</v>
      </c>
    </row>
    <row r="37" spans="1:3" x14ac:dyDescent="0.2">
      <c r="A37">
        <v>18</v>
      </c>
      <c r="B37" s="1" t="s">
        <v>105</v>
      </c>
      <c r="C37" t="s">
        <v>324</v>
      </c>
    </row>
    <row r="38" spans="1:3" x14ac:dyDescent="0.2">
      <c r="A38">
        <v>19</v>
      </c>
      <c r="B38" s="1" t="s">
        <v>24</v>
      </c>
      <c r="C38" t="s">
        <v>345</v>
      </c>
    </row>
    <row r="39" spans="1:3" x14ac:dyDescent="0.2">
      <c r="A39">
        <v>19</v>
      </c>
      <c r="B39" s="1" t="s">
        <v>24</v>
      </c>
      <c r="C39" t="s">
        <v>330</v>
      </c>
    </row>
    <row r="40" spans="1:3" x14ac:dyDescent="0.2">
      <c r="A40">
        <v>19</v>
      </c>
      <c r="B40" s="1" t="s">
        <v>24</v>
      </c>
      <c r="C40" t="s">
        <v>346</v>
      </c>
    </row>
    <row r="41" spans="1:3" x14ac:dyDescent="0.2">
      <c r="A41">
        <v>19</v>
      </c>
      <c r="B41" s="1" t="s">
        <v>24</v>
      </c>
      <c r="C41" t="s">
        <v>331</v>
      </c>
    </row>
    <row r="42" spans="1:3" x14ac:dyDescent="0.2">
      <c r="A42">
        <v>19</v>
      </c>
      <c r="B42" s="1" t="s">
        <v>24</v>
      </c>
      <c r="C42" t="s">
        <v>329</v>
      </c>
    </row>
    <row r="43" spans="1:3" x14ac:dyDescent="0.2">
      <c r="A43">
        <v>19</v>
      </c>
      <c r="B43" s="1" t="s">
        <v>24</v>
      </c>
      <c r="C43" t="s">
        <v>347</v>
      </c>
    </row>
    <row r="44" spans="1:3" x14ac:dyDescent="0.2">
      <c r="A44">
        <v>19</v>
      </c>
      <c r="B44" s="1" t="s">
        <v>24</v>
      </c>
      <c r="C44" t="s">
        <v>348</v>
      </c>
    </row>
    <row r="45" spans="1:3" x14ac:dyDescent="0.2">
      <c r="A45">
        <v>19</v>
      </c>
      <c r="B45" s="1" t="s">
        <v>24</v>
      </c>
      <c r="C45" t="s">
        <v>326</v>
      </c>
    </row>
    <row r="46" spans="1:3" x14ac:dyDescent="0.2">
      <c r="A46">
        <v>19</v>
      </c>
      <c r="B46" s="1" t="s">
        <v>24</v>
      </c>
      <c r="C46" t="s">
        <v>327</v>
      </c>
    </row>
    <row r="47" spans="1:3" x14ac:dyDescent="0.2">
      <c r="A47">
        <v>41</v>
      </c>
      <c r="B47" s="1" t="s">
        <v>21</v>
      </c>
      <c r="C47" t="s">
        <v>329</v>
      </c>
    </row>
    <row r="48" spans="1:3" x14ac:dyDescent="0.2">
      <c r="A48">
        <v>27</v>
      </c>
      <c r="B48" s="1" t="s">
        <v>18</v>
      </c>
      <c r="C48" t="s">
        <v>337</v>
      </c>
    </row>
    <row r="49" spans="1:3" x14ac:dyDescent="0.2">
      <c r="A49">
        <v>36</v>
      </c>
      <c r="B49" s="1" t="s">
        <v>15</v>
      </c>
      <c r="C49" t="s">
        <v>346</v>
      </c>
    </row>
    <row r="50" spans="1:3" x14ac:dyDescent="0.2">
      <c r="A50">
        <v>55</v>
      </c>
      <c r="B50" s="1" t="s">
        <v>12</v>
      </c>
      <c r="C50" t="s">
        <v>10</v>
      </c>
    </row>
    <row r="51" spans="1:3" x14ac:dyDescent="0.2">
      <c r="A51">
        <v>53</v>
      </c>
      <c r="B51" s="1" t="s">
        <v>7</v>
      </c>
      <c r="C51" t="s">
        <v>327</v>
      </c>
    </row>
    <row r="52" spans="1:3" x14ac:dyDescent="0.2">
      <c r="A52">
        <v>58</v>
      </c>
      <c r="B52" s="1" t="s">
        <v>2</v>
      </c>
      <c r="C52" t="s">
        <v>324</v>
      </c>
    </row>
  </sheetData>
  <autoFilter ref="A2:C2" xr:uid="{3EF27A36-3C08-4324-A0C7-CDB57D28B6F2}">
    <sortState xmlns:xlrd2="http://schemas.microsoft.com/office/spreadsheetml/2017/richdata2" ref="A3:C52">
      <sortCondition ref="B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AD7C-C8D7-4A50-95D4-AE55B10F7F90}">
  <dimension ref="A2:M157"/>
  <sheetViews>
    <sheetView topLeftCell="B1" workbookViewId="0">
      <selection activeCell="M123" sqref="M123"/>
    </sheetView>
  </sheetViews>
  <sheetFormatPr baseColWidth="10" defaultRowHeight="12.75" x14ac:dyDescent="0.2"/>
  <cols>
    <col min="1" max="1" width="16.28515625" style="1" bestFit="1" customWidth="1"/>
    <col min="2" max="2" width="16" style="1" bestFit="1" customWidth="1"/>
    <col min="3" max="3" width="17" style="1" customWidth="1"/>
    <col min="4" max="4" width="15.140625" style="1" bestFit="1" customWidth="1"/>
    <col min="5" max="5" width="15.140625" style="1" customWidth="1"/>
    <col min="6" max="6" width="18.7109375" customWidth="1"/>
    <col min="7" max="7" width="34.140625" bestFit="1" customWidth="1"/>
    <col min="9" max="9" width="5.140625" customWidth="1"/>
    <col min="10" max="10" width="28.140625" customWidth="1"/>
  </cols>
  <sheetData>
    <row r="2" spans="1:13" ht="27.75" customHeight="1" x14ac:dyDescent="0.2">
      <c r="A2" s="1" t="s">
        <v>311</v>
      </c>
      <c r="B2" s="1" t="s">
        <v>349</v>
      </c>
      <c r="C2" s="1" t="s">
        <v>358</v>
      </c>
      <c r="D2" s="1" t="s">
        <v>350</v>
      </c>
      <c r="F2" t="s">
        <v>351</v>
      </c>
      <c r="G2" t="s">
        <v>352</v>
      </c>
      <c r="J2" s="9" t="s">
        <v>357</v>
      </c>
    </row>
    <row r="3" spans="1:13" x14ac:dyDescent="0.2">
      <c r="A3" s="1">
        <v>46</v>
      </c>
      <c r="B3" s="1" t="s">
        <v>307</v>
      </c>
      <c r="C3" s="1" t="s">
        <v>354</v>
      </c>
      <c r="D3" s="1" t="s">
        <v>324</v>
      </c>
      <c r="E3" s="1">
        <v>1</v>
      </c>
      <c r="F3" s="1" t="s">
        <v>305</v>
      </c>
      <c r="G3" t="s">
        <v>306</v>
      </c>
      <c r="I3" s="2" t="s">
        <v>323</v>
      </c>
      <c r="J3" s="2" t="str">
        <f>_xlfn.CONCAT(I3,A3,", '",TRIM(D3),"'")</f>
        <v>EXECUTE [dbo].[PG_CI_ARCUSFIL_PROGRAM]  0, 0, 46, 'WL'</v>
      </c>
      <c r="K3" t="s">
        <v>361</v>
      </c>
      <c r="L3" s="10" t="s">
        <v>362</v>
      </c>
      <c r="M3" s="2" t="str">
        <f>_xlfn.CONCAT(L3,E3,", '",TRIM(F3),"', '",TRIM(G3),"'")</f>
        <v>EXECUTE [dbo].[PG_CI_ARCUSFIL_PROGRAM_MODEL]  0, 0, 1, 'WD7', '2021 WL DL 75 VPD'</v>
      </c>
    </row>
    <row r="4" spans="1:13" x14ac:dyDescent="0.2">
      <c r="A4" s="1">
        <v>1</v>
      </c>
      <c r="B4" s="1" t="s">
        <v>304</v>
      </c>
      <c r="C4" s="1" t="s">
        <v>354</v>
      </c>
      <c r="D4" s="1" t="s">
        <v>325</v>
      </c>
      <c r="E4" s="1">
        <v>2</v>
      </c>
      <c r="F4" s="1" t="s">
        <v>302</v>
      </c>
      <c r="G4" t="s">
        <v>303</v>
      </c>
      <c r="I4" s="2" t="s">
        <v>323</v>
      </c>
      <c r="J4" s="2" t="str">
        <f t="shared" ref="J4:J7" si="0">_xlfn.CONCAT(I4,A4,", '",TRIM(D4),"'")</f>
        <v>EXECUTE [dbo].[PG_CI_ARCUSFIL_PROGRAM]  0, 0, 1, 'U377'</v>
      </c>
      <c r="K4" t="s">
        <v>361</v>
      </c>
      <c r="L4" s="10" t="s">
        <v>362</v>
      </c>
      <c r="M4" s="2" t="str">
        <f t="shared" ref="M4:M67" si="1">_xlfn.CONCAT(L4,E4,", '",TRIM(F4),"', '",TRIM(G4),"'")</f>
        <v>EXECUTE [dbo].[PG_CI_ARCUSFIL_PROGRAM_MODEL]  0, 0, 2, '77H', 'U377 FORD HEADREST'</v>
      </c>
    </row>
    <row r="5" spans="1:13" x14ac:dyDescent="0.2">
      <c r="A5" s="1">
        <v>56</v>
      </c>
      <c r="B5" s="1" t="s">
        <v>301</v>
      </c>
      <c r="C5" s="1" t="s">
        <v>354</v>
      </c>
      <c r="D5" s="1" t="s">
        <v>326</v>
      </c>
      <c r="E5" s="1">
        <v>3</v>
      </c>
      <c r="F5" s="1" t="s">
        <v>299</v>
      </c>
      <c r="G5" t="s">
        <v>300</v>
      </c>
      <c r="I5" s="2" t="s">
        <v>323</v>
      </c>
      <c r="J5" s="2" t="str">
        <f t="shared" si="0"/>
        <v>EXECUTE [dbo].[PG_CI_ARCUSFIL_PROGRAM]  0, 0, 56, 'WK'</v>
      </c>
      <c r="K5" t="s">
        <v>361</v>
      </c>
      <c r="L5" s="10" t="s">
        <v>362</v>
      </c>
      <c r="M5" s="2" t="str">
        <f t="shared" si="1"/>
        <v>EXECUTE [dbo].[PG_CI_ARCUSFIL_PROGRAM_MODEL]  0, 0, 3, 'WDK', '2021 WK WD 2ND ROW ARMREST'</v>
      </c>
    </row>
    <row r="6" spans="1:13" x14ac:dyDescent="0.2">
      <c r="A6" s="1">
        <v>57</v>
      </c>
      <c r="B6" s="1" t="s">
        <v>298</v>
      </c>
      <c r="C6" s="1" t="s">
        <v>354</v>
      </c>
      <c r="D6" s="1" t="s">
        <v>324</v>
      </c>
      <c r="E6" s="1">
        <v>4</v>
      </c>
      <c r="F6" s="1" t="s">
        <v>296</v>
      </c>
      <c r="G6" t="s">
        <v>297</v>
      </c>
      <c r="I6" s="2" t="s">
        <v>323</v>
      </c>
      <c r="J6" s="2" t="str">
        <f t="shared" si="0"/>
        <v>EXECUTE [dbo].[PG_CI_ARCUSFIL_PROGRAM]  0, 0, 57, 'WL'</v>
      </c>
      <c r="K6" t="s">
        <v>361</v>
      </c>
      <c r="L6" s="10" t="s">
        <v>362</v>
      </c>
      <c r="M6" s="2" t="str">
        <f t="shared" si="1"/>
        <v>EXECUTE [dbo].[PG_CI_ARCUSFIL_PROGRAM_MODEL]  0, 0, 4, 'WLE', '2021 WL EISMANN'</v>
      </c>
    </row>
    <row r="7" spans="1:13" x14ac:dyDescent="0.2">
      <c r="A7" s="1">
        <v>51</v>
      </c>
      <c r="B7" s="1" t="s">
        <v>283</v>
      </c>
      <c r="C7" s="1" t="s">
        <v>354</v>
      </c>
      <c r="D7" s="1" t="s">
        <v>327</v>
      </c>
      <c r="E7" s="1">
        <v>5</v>
      </c>
      <c r="F7" s="1" t="s">
        <v>294</v>
      </c>
      <c r="G7" t="s">
        <v>295</v>
      </c>
      <c r="I7" s="2" t="s">
        <v>323</v>
      </c>
      <c r="J7" s="2" t="str">
        <f t="shared" si="0"/>
        <v>EXECUTE [dbo].[PG_CI_ARCUSFIL_PROGRAM]  0, 0, 51, 'WS'</v>
      </c>
      <c r="K7" t="s">
        <v>361</v>
      </c>
      <c r="L7" s="10" t="s">
        <v>362</v>
      </c>
      <c r="M7" s="2" t="str">
        <f t="shared" si="1"/>
        <v>EXECUTE [dbo].[PG_CI_ARCUSFIL_PROGRAM_MODEL]  0, 0, 5, 'C3A', '2021 WS BL-GL EEP 3RD ROW'</v>
      </c>
    </row>
    <row r="8" spans="1:13" x14ac:dyDescent="0.2">
      <c r="A8" s="1">
        <v>51</v>
      </c>
      <c r="B8" s="1" t="s">
        <v>283</v>
      </c>
      <c r="D8" s="1" t="s">
        <v>327</v>
      </c>
      <c r="E8" s="1">
        <v>5</v>
      </c>
      <c r="F8" s="1" t="s">
        <v>292</v>
      </c>
      <c r="G8" t="s">
        <v>293</v>
      </c>
      <c r="I8" s="2"/>
      <c r="J8" s="2"/>
      <c r="K8" t="s">
        <v>361</v>
      </c>
      <c r="L8" s="10" t="s">
        <v>362</v>
      </c>
      <c r="M8" s="2" t="str">
        <f t="shared" si="1"/>
        <v>EXECUTE [dbo].[PG_CI_ARCUSFIL_PROGRAM_MODEL]  0, 0, 5, 'C3B', '2021 WS AL JEEP 3RD ROW'</v>
      </c>
    </row>
    <row r="9" spans="1:13" x14ac:dyDescent="0.2">
      <c r="A9" s="1">
        <v>51</v>
      </c>
      <c r="B9" s="1" t="s">
        <v>283</v>
      </c>
      <c r="D9" s="1" t="s">
        <v>327</v>
      </c>
      <c r="E9" s="1">
        <v>5</v>
      </c>
      <c r="F9" s="1" t="s">
        <v>290</v>
      </c>
      <c r="G9" t="s">
        <v>291</v>
      </c>
      <c r="I9" s="2"/>
      <c r="J9" s="2"/>
      <c r="K9" t="s">
        <v>361</v>
      </c>
      <c r="L9" s="10" t="s">
        <v>362</v>
      </c>
      <c r="M9" s="2" t="str">
        <f t="shared" si="1"/>
        <v>EXECUTE [dbo].[PG_CI_ARCUSFIL_PROGRAM_MODEL]  0, 0, 5, 'FW2', '2021 WS JEEP SL NEVER QUILTED'</v>
      </c>
    </row>
    <row r="10" spans="1:13" x14ac:dyDescent="0.2">
      <c r="A10" s="1">
        <v>51</v>
      </c>
      <c r="B10" s="1" t="s">
        <v>283</v>
      </c>
      <c r="D10" s="1" t="s">
        <v>327</v>
      </c>
      <c r="E10" s="1">
        <v>5</v>
      </c>
      <c r="F10" s="1" t="s">
        <v>288</v>
      </c>
      <c r="G10" t="s">
        <v>289</v>
      </c>
      <c r="I10" s="2"/>
      <c r="J10" s="2"/>
      <c r="K10" t="s">
        <v>361</v>
      </c>
      <c r="L10" s="10" t="s">
        <v>362</v>
      </c>
      <c r="M10" s="2" t="str">
        <f t="shared" si="1"/>
        <v>EXECUTE [dbo].[PG_CI_ARCUSFIL_PROGRAM_MODEL]  0, 0, 5, 'FWS', '2021 WS AL JEEP BASE'</v>
      </c>
    </row>
    <row r="11" spans="1:13" x14ac:dyDescent="0.2">
      <c r="A11" s="1">
        <v>51</v>
      </c>
      <c r="B11" s="1" t="s">
        <v>283</v>
      </c>
      <c r="D11" s="1" t="s">
        <v>327</v>
      </c>
      <c r="E11" s="1">
        <v>5</v>
      </c>
      <c r="F11" s="1" t="s">
        <v>286</v>
      </c>
      <c r="G11" t="s">
        <v>287</v>
      </c>
      <c r="I11" s="2"/>
      <c r="J11" s="2"/>
      <c r="K11" t="s">
        <v>361</v>
      </c>
      <c r="L11" s="10" t="s">
        <v>362</v>
      </c>
      <c r="M11" s="2" t="str">
        <f t="shared" si="1"/>
        <v>EXECUTE [dbo].[PG_CI_ARCUSFIL_PROGRAM_MODEL]  0, 0, 5, 'S3S', '2021 WS SL JEEP 3RD ROW'</v>
      </c>
    </row>
    <row r="12" spans="1:13" x14ac:dyDescent="0.2">
      <c r="A12" s="1">
        <v>51</v>
      </c>
      <c r="B12" s="1" t="s">
        <v>283</v>
      </c>
      <c r="D12" s="1" t="s">
        <v>327</v>
      </c>
      <c r="E12" s="1">
        <v>5</v>
      </c>
      <c r="F12" s="1" t="s">
        <v>284</v>
      </c>
      <c r="G12" t="s">
        <v>285</v>
      </c>
      <c r="I12" s="2"/>
      <c r="J12" s="2"/>
      <c r="K12" t="s">
        <v>361</v>
      </c>
      <c r="L12" s="10" t="s">
        <v>362</v>
      </c>
      <c r="M12" s="2" t="str">
        <f t="shared" si="1"/>
        <v>EXECUTE [dbo].[PG_CI_ARCUSFIL_PROGRAM_MODEL]  0, 0, 5, 'S3U', '2021 WS UL JEEP 3RD ROW'</v>
      </c>
    </row>
    <row r="13" spans="1:13" x14ac:dyDescent="0.2">
      <c r="A13" s="1">
        <v>51</v>
      </c>
      <c r="B13" s="1" t="s">
        <v>283</v>
      </c>
      <c r="D13" s="1" t="s">
        <v>327</v>
      </c>
      <c r="E13" s="1">
        <v>5</v>
      </c>
      <c r="F13" s="1" t="s">
        <v>281</v>
      </c>
      <c r="G13" t="s">
        <v>282</v>
      </c>
      <c r="I13" s="2"/>
      <c r="J13" s="2"/>
      <c r="K13" t="s">
        <v>361</v>
      </c>
      <c r="L13" s="10" t="s">
        <v>362</v>
      </c>
      <c r="M13" s="2" t="str">
        <f t="shared" si="1"/>
        <v>EXECUTE [dbo].[PG_CI_ARCUSFIL_PROGRAM_MODEL]  0, 0, 5, 'WS3', '2021 WS UL ALWAYS QUILTED'</v>
      </c>
    </row>
    <row r="14" spans="1:13" x14ac:dyDescent="0.2">
      <c r="A14" s="1">
        <v>5</v>
      </c>
      <c r="B14" s="1" t="s">
        <v>280</v>
      </c>
      <c r="C14" s="1" t="s">
        <v>354</v>
      </c>
      <c r="D14" s="1" t="s">
        <v>328</v>
      </c>
      <c r="E14" s="1">
        <v>6</v>
      </c>
      <c r="F14" s="1" t="s">
        <v>278</v>
      </c>
      <c r="G14" t="s">
        <v>279</v>
      </c>
      <c r="I14" s="2" t="s">
        <v>323</v>
      </c>
      <c r="J14" s="2" t="str">
        <f t="shared" ref="J14:J16" si="2">_xlfn.CONCAT(I14,A14,", '",TRIM(D14),"'")</f>
        <v>EXECUTE [dbo].[PG_CI_ARCUSFIL_PROGRAM]  0, 0, 5, 'U364'</v>
      </c>
      <c r="K14" t="s">
        <v>361</v>
      </c>
      <c r="L14" s="10" t="s">
        <v>362</v>
      </c>
      <c r="M14" s="2" t="str">
        <f t="shared" si="1"/>
        <v>EXECUTE [dbo].[PG_CI_ARCUSFIL_PROGRAM_MODEL]  0, 0, 6, 'MCY', 'U364 MERCURY LTD FINDALY'</v>
      </c>
    </row>
    <row r="15" spans="1:13" x14ac:dyDescent="0.2">
      <c r="A15" s="1">
        <v>40</v>
      </c>
      <c r="B15" s="1" t="s">
        <v>277</v>
      </c>
      <c r="C15" s="1" t="s">
        <v>354</v>
      </c>
      <c r="D15" s="1" t="s">
        <v>329</v>
      </c>
      <c r="E15" s="1">
        <v>7</v>
      </c>
      <c r="F15" s="1" t="s">
        <v>276</v>
      </c>
      <c r="G15" t="s">
        <v>267</v>
      </c>
      <c r="I15" s="2" t="s">
        <v>323</v>
      </c>
      <c r="J15" s="2" t="str">
        <f t="shared" si="2"/>
        <v>EXECUTE [dbo].[PG_CI_ARCUSFIL_PROGRAM]  0, 0, 40, 'U388'</v>
      </c>
      <c r="K15" t="s">
        <v>361</v>
      </c>
      <c r="L15" s="10" t="s">
        <v>362</v>
      </c>
      <c r="M15" s="2" t="str">
        <f t="shared" si="1"/>
        <v>EXECUTE [dbo].[PG_CI_ARCUSFIL_PROGRAM_MODEL]  0, 0, 7, 'GAR', 'U388 LINCOLN ARMREST'</v>
      </c>
    </row>
    <row r="16" spans="1:13" x14ac:dyDescent="0.2">
      <c r="A16" s="1">
        <v>54</v>
      </c>
      <c r="B16" s="1" t="s">
        <v>273</v>
      </c>
      <c r="C16" s="1" t="s">
        <v>354</v>
      </c>
      <c r="D16" s="1" t="s">
        <v>324</v>
      </c>
      <c r="E16" s="1">
        <v>8</v>
      </c>
      <c r="F16" s="1" t="s">
        <v>313</v>
      </c>
      <c r="G16" t="s">
        <v>317</v>
      </c>
      <c r="I16" s="2" t="s">
        <v>323</v>
      </c>
      <c r="J16" s="2" t="str">
        <f t="shared" si="2"/>
        <v>EXECUTE [dbo].[PG_CI_ARCUSFIL_PROGRAM]  0, 0, 54, 'WL'</v>
      </c>
      <c r="K16" t="s">
        <v>361</v>
      </c>
      <c r="L16" s="10" t="s">
        <v>362</v>
      </c>
      <c r="M16" s="2" t="str">
        <f t="shared" si="1"/>
        <v>EXECUTE [dbo].[PG_CI_ARCUSFIL_PROGRAM_MODEL]  0, 0, 8, 'GR1', '2021 WL 75 QUADS 2ND. ROW ARMR'</v>
      </c>
    </row>
    <row r="17" spans="1:13" x14ac:dyDescent="0.2">
      <c r="A17" s="1">
        <v>54</v>
      </c>
      <c r="B17" s="1" t="s">
        <v>273</v>
      </c>
      <c r="D17" s="1" t="s">
        <v>324</v>
      </c>
      <c r="E17" s="1">
        <v>8</v>
      </c>
      <c r="F17" s="1" t="s">
        <v>315</v>
      </c>
      <c r="G17" t="s">
        <v>319</v>
      </c>
      <c r="I17" s="2"/>
      <c r="J17" s="2"/>
      <c r="K17" t="s">
        <v>361</v>
      </c>
      <c r="L17" s="10" t="s">
        <v>362</v>
      </c>
      <c r="M17" s="2" t="str">
        <f t="shared" si="1"/>
        <v>EXECUTE [dbo].[PG_CI_ARCUSFIL_PROGRAM_MODEL]  0, 0, 8, 'GRM', '2021 WL 74/75 2ND. ROW ARMREST'</v>
      </c>
    </row>
    <row r="18" spans="1:13" x14ac:dyDescent="0.2">
      <c r="A18" s="1">
        <v>54</v>
      </c>
      <c r="B18" s="1" t="s">
        <v>273</v>
      </c>
      <c r="D18" s="1" t="s">
        <v>324</v>
      </c>
      <c r="E18" s="1">
        <v>8</v>
      </c>
      <c r="F18" s="1" t="s">
        <v>274</v>
      </c>
      <c r="G18" t="s">
        <v>275</v>
      </c>
      <c r="I18" s="2"/>
      <c r="J18" s="2"/>
      <c r="K18" t="s">
        <v>361</v>
      </c>
      <c r="L18" s="10" t="s">
        <v>362</v>
      </c>
      <c r="M18" s="2" t="str">
        <f t="shared" si="1"/>
        <v>EXECUTE [dbo].[PG_CI_ARCUSFIL_PROGRAM_MODEL]  0, 0, 8, 'GW2', '2021 WL 75 QUADS 2ND. ROW AR'</v>
      </c>
    </row>
    <row r="19" spans="1:13" x14ac:dyDescent="0.2">
      <c r="A19" s="1">
        <v>54</v>
      </c>
      <c r="B19" s="1" t="s">
        <v>273</v>
      </c>
      <c r="D19" s="1" t="s">
        <v>324</v>
      </c>
      <c r="E19" s="1">
        <v>8</v>
      </c>
      <c r="F19" s="1" t="s">
        <v>271</v>
      </c>
      <c r="G19" t="s">
        <v>272</v>
      </c>
      <c r="I19" s="2"/>
      <c r="J19" s="2"/>
      <c r="K19" t="s">
        <v>361</v>
      </c>
      <c r="L19" s="10" t="s">
        <v>362</v>
      </c>
      <c r="M19" s="2" t="str">
        <f t="shared" si="1"/>
        <v>EXECUTE [dbo].[PG_CI_ARCUSFIL_PROGRAM_MODEL]  0, 0, 8, 'GWL', '2021 WL 74/75 2ND. ROW ARMRE'</v>
      </c>
    </row>
    <row r="20" spans="1:13" x14ac:dyDescent="0.2">
      <c r="A20" s="1">
        <v>54</v>
      </c>
      <c r="B20" s="1" t="s">
        <v>273</v>
      </c>
      <c r="C20" s="1" t="s">
        <v>354</v>
      </c>
      <c r="D20" s="1" t="s">
        <v>327</v>
      </c>
      <c r="E20" s="1">
        <v>9</v>
      </c>
      <c r="F20" s="1" t="s">
        <v>314</v>
      </c>
      <c r="G20" t="s">
        <v>318</v>
      </c>
      <c r="I20" s="2" t="s">
        <v>323</v>
      </c>
      <c r="J20" s="2" t="str">
        <f>_xlfn.CONCAT(I20,A20,", '",TRIM(D20),"'")</f>
        <v>EXECUTE [dbo].[PG_CI_ARCUSFIL_PROGRAM]  0, 0, 54, 'WS'</v>
      </c>
      <c r="K20" t="s">
        <v>361</v>
      </c>
      <c r="L20" s="10" t="s">
        <v>362</v>
      </c>
      <c r="M20" s="2" t="str">
        <f t="shared" si="1"/>
        <v>EXECUTE [dbo].[PG_CI_ARCUSFIL_PROGRAM_MODEL]  0, 0, 9, 'GR2', 'WS FOLDING 2ND-ROW ARM REST'</v>
      </c>
    </row>
    <row r="21" spans="1:13" x14ac:dyDescent="0.2">
      <c r="A21" s="1">
        <v>54</v>
      </c>
      <c r="B21" s="1" t="s">
        <v>273</v>
      </c>
      <c r="D21" s="1" t="s">
        <v>327</v>
      </c>
      <c r="E21" s="1">
        <v>9</v>
      </c>
      <c r="F21" s="1" t="s">
        <v>316</v>
      </c>
      <c r="G21" t="s">
        <v>320</v>
      </c>
      <c r="I21" s="2"/>
      <c r="J21" s="2"/>
      <c r="K21" t="s">
        <v>361</v>
      </c>
      <c r="L21" s="10" t="s">
        <v>362</v>
      </c>
      <c r="M21" s="2" t="str">
        <f t="shared" si="1"/>
        <v>EXECUTE [dbo].[PG_CI_ARCUSFIL_PROGRAM_MODEL]  0, 0, 9, 'GWS', '2021 WS GRAN WAGONNER'</v>
      </c>
    </row>
    <row r="22" spans="1:13" x14ac:dyDescent="0.2">
      <c r="A22" s="1">
        <v>7</v>
      </c>
      <c r="B22" s="1" t="s">
        <v>235</v>
      </c>
      <c r="C22" s="1" t="s">
        <v>354</v>
      </c>
      <c r="D22" s="1" t="s">
        <v>330</v>
      </c>
      <c r="E22" s="1">
        <v>10</v>
      </c>
      <c r="F22" s="1">
        <v>193</v>
      </c>
      <c r="G22" t="s">
        <v>270</v>
      </c>
      <c r="I22" s="2" t="s">
        <v>323</v>
      </c>
      <c r="J22" s="2" t="str">
        <f>_xlfn.CONCAT(I22,A22,", '",TRIM(D22),"'")</f>
        <v>EXECUTE [dbo].[PG_CI_ARCUSFIL_PROGRAM]  0, 0, 7, 'GMT'</v>
      </c>
      <c r="K22" t="s">
        <v>361</v>
      </c>
      <c r="L22" s="10" t="s">
        <v>362</v>
      </c>
      <c r="M22" s="2" t="str">
        <f t="shared" si="1"/>
        <v>EXECUTE [dbo].[PG_CI_ARCUSFIL_PROGRAM_MODEL]  0, 0, 10, '193', 'GMT 193 2007'</v>
      </c>
    </row>
    <row r="23" spans="1:13" x14ac:dyDescent="0.2">
      <c r="A23" s="1">
        <v>7</v>
      </c>
      <c r="B23" s="1" t="s">
        <v>235</v>
      </c>
      <c r="D23" s="1" t="s">
        <v>330</v>
      </c>
      <c r="E23" s="1">
        <v>10</v>
      </c>
      <c r="F23" s="1" t="s">
        <v>262</v>
      </c>
      <c r="G23" t="s">
        <v>263</v>
      </c>
      <c r="I23" s="2"/>
      <c r="J23" s="2"/>
      <c r="K23" t="s">
        <v>361</v>
      </c>
      <c r="L23" s="10" t="s">
        <v>362</v>
      </c>
      <c r="M23" s="2" t="str">
        <f t="shared" si="1"/>
        <v>EXECUTE [dbo].[PG_CI_ARCUSFIL_PROGRAM_MODEL]  0, 0, 10, 'GM1', 'GMT 191 PONTIAC TORRENT'</v>
      </c>
    </row>
    <row r="24" spans="1:13" x14ac:dyDescent="0.2">
      <c r="A24" s="1">
        <v>7</v>
      </c>
      <c r="B24" s="1" t="s">
        <v>235</v>
      </c>
      <c r="D24" s="1" t="s">
        <v>330</v>
      </c>
      <c r="E24" s="1">
        <v>10</v>
      </c>
      <c r="F24" s="1" t="s">
        <v>260</v>
      </c>
      <c r="G24" t="s">
        <v>261</v>
      </c>
      <c r="I24" s="2"/>
      <c r="J24" s="2"/>
      <c r="K24" t="s">
        <v>361</v>
      </c>
      <c r="L24" s="10" t="s">
        <v>362</v>
      </c>
      <c r="M24" s="2" t="str">
        <f t="shared" si="1"/>
        <v>EXECUTE [dbo].[PG_CI_ARCUSFIL_PROGRAM_MODEL]  0, 0, 10, 'GM2', 'GMT 192 PONTIAC PERSUIT'</v>
      </c>
    </row>
    <row r="25" spans="1:13" x14ac:dyDescent="0.2">
      <c r="A25" s="1">
        <v>7</v>
      </c>
      <c r="B25" s="1" t="s">
        <v>235</v>
      </c>
      <c r="D25" s="1" t="s">
        <v>330</v>
      </c>
      <c r="E25" s="1">
        <v>10</v>
      </c>
      <c r="F25" s="1" t="s">
        <v>259</v>
      </c>
      <c r="G25" t="s">
        <v>230</v>
      </c>
      <c r="I25" s="2"/>
      <c r="J25" s="2"/>
      <c r="K25" t="s">
        <v>361</v>
      </c>
      <c r="L25" s="10" t="s">
        <v>362</v>
      </c>
      <c r="M25" s="2" t="str">
        <f t="shared" si="1"/>
        <v>EXECUTE [dbo].[PG_CI_ARCUSFIL_PROGRAM_MODEL]  0, 0, 10, 'GM3', 'ARMREST GMT 193'</v>
      </c>
    </row>
    <row r="26" spans="1:13" x14ac:dyDescent="0.2">
      <c r="A26" s="1">
        <v>7</v>
      </c>
      <c r="B26" s="1" t="s">
        <v>235</v>
      </c>
      <c r="D26" s="1" t="s">
        <v>330</v>
      </c>
      <c r="E26" s="1">
        <v>10</v>
      </c>
      <c r="F26" s="1" t="s">
        <v>258</v>
      </c>
      <c r="G26" t="s">
        <v>225</v>
      </c>
      <c r="I26" s="2"/>
      <c r="J26" s="2"/>
      <c r="K26" t="s">
        <v>361</v>
      </c>
      <c r="L26" s="10" t="s">
        <v>362</v>
      </c>
      <c r="M26" s="2" t="str">
        <f t="shared" si="1"/>
        <v>EXECUTE [dbo].[PG_CI_ARCUSFIL_PROGRAM_MODEL]  0, 0, 10, 'GXP', 'GMT 192 GXP 2008'</v>
      </c>
    </row>
    <row r="27" spans="1:13" x14ac:dyDescent="0.2">
      <c r="A27" s="1">
        <v>7</v>
      </c>
      <c r="B27" s="1" t="s">
        <v>235</v>
      </c>
      <c r="C27" s="1" t="s">
        <v>354</v>
      </c>
      <c r="D27" s="1" t="s">
        <v>332</v>
      </c>
      <c r="E27" s="1">
        <v>11</v>
      </c>
      <c r="F27" s="1" t="s">
        <v>254</v>
      </c>
      <c r="G27" t="s">
        <v>255</v>
      </c>
      <c r="I27" s="2" t="s">
        <v>323</v>
      </c>
      <c r="J27" s="2" t="str">
        <f>_xlfn.CONCAT(I27,A27,", '",TRIM(D27),"'")</f>
        <v>EXECUTE [dbo].[PG_CI_ARCUSFIL_PROGRAM]  0, 0, 7, 'JL'</v>
      </c>
      <c r="K27" t="s">
        <v>361</v>
      </c>
      <c r="L27" s="10" t="s">
        <v>362</v>
      </c>
      <c r="M27" s="2" t="str">
        <f t="shared" si="1"/>
        <v>EXECUTE [dbo].[PG_CI_ARCUSFIL_PROGRAM_MODEL]  0, 0, 11, 'JLI', '2018 JEEP JL'</v>
      </c>
    </row>
    <row r="28" spans="1:13" x14ac:dyDescent="0.2">
      <c r="A28" s="1">
        <v>7</v>
      </c>
      <c r="B28" s="1" t="s">
        <v>235</v>
      </c>
      <c r="D28" s="1" t="s">
        <v>332</v>
      </c>
      <c r="E28" s="1">
        <v>11</v>
      </c>
      <c r="F28" s="1" t="s">
        <v>252</v>
      </c>
      <c r="G28" t="s">
        <v>253</v>
      </c>
      <c r="I28" s="2"/>
      <c r="J28" s="2"/>
      <c r="K28" t="s">
        <v>361</v>
      </c>
      <c r="L28" s="10" t="s">
        <v>362</v>
      </c>
      <c r="M28" s="2" t="str">
        <f t="shared" si="1"/>
        <v>EXECUTE [dbo].[PG_CI_ARCUSFIL_PROGRAM_MODEL]  0, 0, 11, 'JPH', '2020 JEEP JL PHEV'</v>
      </c>
    </row>
    <row r="29" spans="1:13" x14ac:dyDescent="0.2">
      <c r="A29" s="1">
        <v>7</v>
      </c>
      <c r="B29" s="1" t="s">
        <v>235</v>
      </c>
      <c r="D29" s="1" t="s">
        <v>332</v>
      </c>
      <c r="E29" s="1">
        <v>11</v>
      </c>
      <c r="F29" s="1" t="s">
        <v>250</v>
      </c>
      <c r="G29" t="s">
        <v>251</v>
      </c>
      <c r="I29" s="2"/>
      <c r="J29" s="2"/>
      <c r="K29" t="s">
        <v>361</v>
      </c>
      <c r="L29" s="10" t="s">
        <v>362</v>
      </c>
      <c r="M29" s="2" t="str">
        <f t="shared" si="1"/>
        <v>EXECUTE [dbo].[PG_CI_ARCUSFIL_PROGRAM_MODEL]  0, 0, 11, 'JPS', '2021 JEEP JL PHEV SUMMIT'</v>
      </c>
    </row>
    <row r="30" spans="1:13" x14ac:dyDescent="0.2">
      <c r="A30" s="1">
        <v>7</v>
      </c>
      <c r="B30" s="1" t="s">
        <v>235</v>
      </c>
      <c r="D30" s="1" t="s">
        <v>332</v>
      </c>
      <c r="E30" s="1">
        <v>11</v>
      </c>
      <c r="F30" s="1" t="s">
        <v>248</v>
      </c>
      <c r="G30" t="s">
        <v>249</v>
      </c>
      <c r="I30" s="2"/>
      <c r="J30" s="2"/>
      <c r="K30" t="s">
        <v>361</v>
      </c>
      <c r="L30" s="10" t="s">
        <v>362</v>
      </c>
      <c r="M30" s="2" t="str">
        <f t="shared" si="1"/>
        <v>EXECUTE [dbo].[PG_CI_ARCUSFIL_PROGRAM_MODEL]  0, 0, 11, 'JSU', 'JEEPJL SUMMIT'</v>
      </c>
    </row>
    <row r="31" spans="1:13" x14ac:dyDescent="0.2">
      <c r="A31" s="1">
        <v>7</v>
      </c>
      <c r="B31" s="1" t="s">
        <v>235</v>
      </c>
      <c r="C31" s="1" t="s">
        <v>354</v>
      </c>
      <c r="D31" s="1" t="s">
        <v>353</v>
      </c>
      <c r="E31" s="1">
        <v>12</v>
      </c>
      <c r="F31" s="1" t="s">
        <v>256</v>
      </c>
      <c r="G31" t="s">
        <v>257</v>
      </c>
      <c r="I31" s="2" t="s">
        <v>323</v>
      </c>
      <c r="J31" s="2" t="str">
        <f>_xlfn.CONCAT(I31,A31,", '",TRIM(D31),"'")</f>
        <v>EXECUTE [dbo].[PG_CI_ARCUSFIL_PROGRAM]  0, 0, 7, 'JT'</v>
      </c>
      <c r="K31" t="s">
        <v>361</v>
      </c>
      <c r="L31" s="10" t="s">
        <v>362</v>
      </c>
      <c r="M31" s="2" t="str">
        <f t="shared" si="1"/>
        <v>EXECUTE [dbo].[PG_CI_ARCUSFIL_PROGRAM_MODEL]  0, 0, 12, 'JJT', '2019 JEEP JT'</v>
      </c>
    </row>
    <row r="32" spans="1:13" x14ac:dyDescent="0.2">
      <c r="A32" s="1">
        <v>7</v>
      </c>
      <c r="B32" s="1" t="s">
        <v>235</v>
      </c>
      <c r="D32" s="1" t="s">
        <v>353</v>
      </c>
      <c r="E32" s="1">
        <v>12</v>
      </c>
      <c r="F32" s="1" t="s">
        <v>246</v>
      </c>
      <c r="G32" t="s">
        <v>247</v>
      </c>
      <c r="I32" s="2"/>
      <c r="J32" s="2"/>
      <c r="K32" t="s">
        <v>361</v>
      </c>
      <c r="L32" s="10" t="s">
        <v>362</v>
      </c>
      <c r="M32" s="2" t="str">
        <f t="shared" si="1"/>
        <v>EXECUTE [dbo].[PG_CI_ARCUSFIL_PROGRAM_MODEL]  0, 0, 12, 'JTM', '2019 JEEP JT MOJAVE'</v>
      </c>
    </row>
    <row r="33" spans="1:13" x14ac:dyDescent="0.2">
      <c r="A33" s="1">
        <v>7</v>
      </c>
      <c r="B33" s="1" t="s">
        <v>235</v>
      </c>
      <c r="D33" s="1" t="s">
        <v>353</v>
      </c>
      <c r="E33" s="1">
        <v>12</v>
      </c>
      <c r="F33" s="1" t="s">
        <v>244</v>
      </c>
      <c r="G33" t="s">
        <v>245</v>
      </c>
      <c r="I33" s="2"/>
      <c r="J33" s="2"/>
      <c r="K33" t="s">
        <v>361</v>
      </c>
      <c r="L33" s="10" t="s">
        <v>362</v>
      </c>
      <c r="M33" s="2" t="str">
        <f t="shared" si="1"/>
        <v>EXECUTE [dbo].[PG_CI_ARCUSFIL_PROGRAM_MODEL]  0, 0, 12, 'JTS', '2021 JEEP JT SUMMIT'</v>
      </c>
    </row>
    <row r="34" spans="1:13" x14ac:dyDescent="0.2">
      <c r="A34" s="1">
        <v>7</v>
      </c>
      <c r="B34" s="1" t="s">
        <v>235</v>
      </c>
      <c r="C34" s="1" t="s">
        <v>354</v>
      </c>
      <c r="D34" s="1" t="s">
        <v>331</v>
      </c>
      <c r="E34" s="1">
        <v>13</v>
      </c>
      <c r="F34" s="1" t="s">
        <v>269</v>
      </c>
      <c r="G34" t="s">
        <v>99</v>
      </c>
      <c r="I34" s="2" t="s">
        <v>323</v>
      </c>
      <c r="J34" s="2" t="str">
        <f>_xlfn.CONCAT(I34,A34,", '",TRIM(D34),"'")</f>
        <v>EXECUTE [dbo].[PG_CI_ARCUSFIL_PROGRAM]  0, 0, 7, 'U387'</v>
      </c>
      <c r="K34" t="s">
        <v>361</v>
      </c>
      <c r="L34" s="10" t="s">
        <v>362</v>
      </c>
      <c r="M34" s="2" t="str">
        <f t="shared" si="1"/>
        <v>EXECUTE [dbo].[PG_CI_ARCUSFIL_PROGRAM_MODEL]  0, 0, 13, '87C', 'U387 FORD CUTTING EDGE'</v>
      </c>
    </row>
    <row r="35" spans="1:13" x14ac:dyDescent="0.2">
      <c r="A35" s="1">
        <v>7</v>
      </c>
      <c r="B35" s="1" t="s">
        <v>235</v>
      </c>
      <c r="D35" s="1" t="s">
        <v>331</v>
      </c>
      <c r="E35" s="1">
        <v>13</v>
      </c>
      <c r="F35" s="1" t="s">
        <v>268</v>
      </c>
      <c r="G35" t="s">
        <v>102</v>
      </c>
      <c r="I35" s="2"/>
      <c r="J35" s="2"/>
      <c r="K35" t="s">
        <v>361</v>
      </c>
      <c r="L35" s="10" t="s">
        <v>362</v>
      </c>
      <c r="M35" s="2" t="str">
        <f t="shared" si="1"/>
        <v>EXECUTE [dbo].[PG_CI_ARCUSFIL_PROGRAM_MODEL]  0, 0, 13, '87P', 'U387 FORD PREMIUM'</v>
      </c>
    </row>
    <row r="36" spans="1:13" x14ac:dyDescent="0.2">
      <c r="A36" s="1">
        <v>7</v>
      </c>
      <c r="B36" s="1" t="s">
        <v>235</v>
      </c>
      <c r="C36" s="1" t="s">
        <v>354</v>
      </c>
      <c r="D36" s="1" t="s">
        <v>329</v>
      </c>
      <c r="E36" s="1">
        <v>14</v>
      </c>
      <c r="F36" s="1" t="s">
        <v>266</v>
      </c>
      <c r="G36" t="s">
        <v>267</v>
      </c>
      <c r="I36" s="2" t="s">
        <v>323</v>
      </c>
      <c r="J36" s="2" t="str">
        <f>_xlfn.CONCAT(I36,A36,", '",TRIM(D36),"'")</f>
        <v>EXECUTE [dbo].[PG_CI_ARCUSFIL_PROGRAM]  0, 0, 7, 'U388'</v>
      </c>
      <c r="K36" t="s">
        <v>361</v>
      </c>
      <c r="L36" s="10" t="s">
        <v>362</v>
      </c>
      <c r="M36" s="2" t="str">
        <f t="shared" si="1"/>
        <v>EXECUTE [dbo].[PG_CI_ARCUSFIL_PROGRAM_MODEL]  0, 0, 14, '88A', 'U388 LINCOLN ARMREST'</v>
      </c>
    </row>
    <row r="37" spans="1:13" x14ac:dyDescent="0.2">
      <c r="A37" s="1">
        <v>7</v>
      </c>
      <c r="B37" s="1" t="s">
        <v>235</v>
      </c>
      <c r="D37" s="1" t="s">
        <v>329</v>
      </c>
      <c r="E37" s="1">
        <v>14</v>
      </c>
      <c r="F37" s="1" t="s">
        <v>265</v>
      </c>
      <c r="G37" t="s">
        <v>20</v>
      </c>
      <c r="I37" s="2"/>
      <c r="J37" s="2"/>
      <c r="K37" t="s">
        <v>361</v>
      </c>
      <c r="L37" s="10" t="s">
        <v>362</v>
      </c>
      <c r="M37" s="2" t="str">
        <f t="shared" si="1"/>
        <v>EXECUTE [dbo].[PG_CI_ARCUSFIL_PROGRAM_MODEL]  0, 0, 14, '88H', 'U388 HEADREST'</v>
      </c>
    </row>
    <row r="38" spans="1:13" x14ac:dyDescent="0.2">
      <c r="A38" s="1">
        <v>7</v>
      </c>
      <c r="B38" s="1" t="s">
        <v>235</v>
      </c>
      <c r="D38" s="1" t="s">
        <v>329</v>
      </c>
      <c r="E38" s="1">
        <v>14</v>
      </c>
      <c r="F38" s="1" t="s">
        <v>264</v>
      </c>
      <c r="G38" t="s">
        <v>95</v>
      </c>
      <c r="I38" s="2"/>
      <c r="J38" s="2"/>
      <c r="K38" t="s">
        <v>361</v>
      </c>
      <c r="L38" s="10" t="s">
        <v>362</v>
      </c>
      <c r="M38" s="2" t="str">
        <f t="shared" si="1"/>
        <v>EXECUTE [dbo].[PG_CI_ARCUSFIL_PROGRAM_MODEL]  0, 0, 14, '88L', 'U388 LINCOLN LIMITED'</v>
      </c>
    </row>
    <row r="39" spans="1:13" x14ac:dyDescent="0.2">
      <c r="A39" s="1">
        <v>7</v>
      </c>
      <c r="B39" s="1" t="s">
        <v>235</v>
      </c>
      <c r="C39" s="1" t="s">
        <v>354</v>
      </c>
      <c r="D39" s="1" t="s">
        <v>333</v>
      </c>
      <c r="E39" s="1">
        <v>15</v>
      </c>
      <c r="F39" s="1" t="s">
        <v>242</v>
      </c>
      <c r="G39" t="s">
        <v>243</v>
      </c>
      <c r="I39" s="2" t="s">
        <v>323</v>
      </c>
      <c r="J39" s="2" t="str">
        <f>_xlfn.CONCAT(I39,A39,", '",TRIM(D39),"'")</f>
        <v>EXECUTE [dbo].[PG_CI_ARCUSFIL_PROGRAM]  0, 0, 7, 'V229'</v>
      </c>
      <c r="K39" t="s">
        <v>361</v>
      </c>
      <c r="L39" s="10" t="s">
        <v>362</v>
      </c>
      <c r="M39" s="2" t="str">
        <f t="shared" si="1"/>
        <v>EXECUTE [dbo].[PG_CI_ARCUSFIL_PROGRAM_MODEL]  0, 0, 15, 'VFL', 'V229 FORD FREESTAR LTD'</v>
      </c>
    </row>
    <row r="40" spans="1:13" x14ac:dyDescent="0.2">
      <c r="A40" s="1">
        <v>7</v>
      </c>
      <c r="B40" s="1" t="s">
        <v>235</v>
      </c>
      <c r="D40" s="1" t="s">
        <v>333</v>
      </c>
      <c r="E40" s="1">
        <v>15</v>
      </c>
      <c r="F40" s="1" t="s">
        <v>240</v>
      </c>
      <c r="G40" t="s">
        <v>241</v>
      </c>
      <c r="I40" s="2"/>
      <c r="J40" s="2"/>
      <c r="K40" t="s">
        <v>361</v>
      </c>
      <c r="L40" s="10" t="s">
        <v>362</v>
      </c>
      <c r="M40" s="2" t="str">
        <f t="shared" si="1"/>
        <v>EXECUTE [dbo].[PG_CI_ARCUSFIL_PROGRAM_MODEL]  0, 0, 15, 'VML', 'V229 FREESTAR MERCURY LTD'</v>
      </c>
    </row>
    <row r="41" spans="1:13" x14ac:dyDescent="0.2">
      <c r="A41" s="1">
        <v>7</v>
      </c>
      <c r="B41" s="1" t="s">
        <v>235</v>
      </c>
      <c r="D41" s="1" t="s">
        <v>333</v>
      </c>
      <c r="E41" s="1">
        <v>15</v>
      </c>
      <c r="F41" s="1" t="s">
        <v>238</v>
      </c>
      <c r="G41" t="s">
        <v>239</v>
      </c>
      <c r="I41" s="2"/>
      <c r="J41" s="2"/>
      <c r="K41" t="s">
        <v>361</v>
      </c>
      <c r="L41" s="10" t="s">
        <v>362</v>
      </c>
      <c r="M41" s="2" t="str">
        <f t="shared" si="1"/>
        <v>EXECUTE [dbo].[PG_CI_ARCUSFIL_PROGRAM_MODEL]  0, 0, 15, 'VMP', 'V229 FREESTAR MPA'</v>
      </c>
    </row>
    <row r="42" spans="1:13" x14ac:dyDescent="0.2">
      <c r="A42" s="1">
        <v>7</v>
      </c>
      <c r="B42" s="1" t="s">
        <v>235</v>
      </c>
      <c r="D42" s="1" t="s">
        <v>333</v>
      </c>
      <c r="E42" s="1">
        <v>15</v>
      </c>
      <c r="F42" s="1" t="s">
        <v>236</v>
      </c>
      <c r="G42" t="s">
        <v>237</v>
      </c>
      <c r="I42" s="2"/>
      <c r="J42" s="2"/>
      <c r="K42" t="s">
        <v>361</v>
      </c>
      <c r="L42" s="10" t="s">
        <v>362</v>
      </c>
      <c r="M42" s="2" t="str">
        <f t="shared" si="1"/>
        <v>EXECUTE [dbo].[PG_CI_ARCUSFIL_PROGRAM_MODEL]  0, 0, 15, 'VMX', 'V229 FREESTAR MXA'</v>
      </c>
    </row>
    <row r="43" spans="1:13" x14ac:dyDescent="0.2">
      <c r="A43" s="1">
        <v>7</v>
      </c>
      <c r="B43" s="1" t="s">
        <v>235</v>
      </c>
      <c r="C43" s="1" t="s">
        <v>354</v>
      </c>
      <c r="D43" s="1" t="s">
        <v>324</v>
      </c>
      <c r="E43" s="1">
        <v>16</v>
      </c>
      <c r="F43" s="1" t="s">
        <v>233</v>
      </c>
      <c r="G43" t="s">
        <v>234</v>
      </c>
      <c r="I43" s="2" t="s">
        <v>323</v>
      </c>
      <c r="J43" s="2" t="str">
        <f t="shared" ref="J43:J44" si="3">_xlfn.CONCAT(I43,A43,", '",TRIM(D43),"'")</f>
        <v>EXECUTE [dbo].[PG_CI_ARCUSFIL_PROGRAM]  0, 0, 7, 'WL'</v>
      </c>
      <c r="K43" t="s">
        <v>361</v>
      </c>
      <c r="L43" s="10" t="s">
        <v>362</v>
      </c>
      <c r="M43" s="2" t="str">
        <f t="shared" si="1"/>
        <v>EXECUTE [dbo].[PG_CI_ARCUSFIL_PROGRAM_MODEL]  0, 0, 16, 'WLS', 'WLS JEEP 2020'</v>
      </c>
    </row>
    <row r="44" spans="1:13" x14ac:dyDescent="0.2">
      <c r="A44" s="1">
        <v>34</v>
      </c>
      <c r="B44" s="1" t="s">
        <v>226</v>
      </c>
      <c r="C44" s="1" t="s">
        <v>354</v>
      </c>
      <c r="D44" s="1" t="s">
        <v>330</v>
      </c>
      <c r="E44" s="1">
        <v>17</v>
      </c>
      <c r="F44" s="1">
        <v>191</v>
      </c>
      <c r="G44" t="s">
        <v>232</v>
      </c>
      <c r="I44" s="2" t="s">
        <v>323</v>
      </c>
      <c r="J44" s="2" t="str">
        <f t="shared" si="3"/>
        <v>EXECUTE [dbo].[PG_CI_ARCUSFIL_PROGRAM]  0, 0, 34, 'GMT'</v>
      </c>
      <c r="K44" t="s">
        <v>361</v>
      </c>
      <c r="L44" s="10" t="s">
        <v>362</v>
      </c>
      <c r="M44" s="2" t="str">
        <f t="shared" si="1"/>
        <v>EXECUTE [dbo].[PG_CI_ARCUSFIL_PROGRAM_MODEL]  0, 0, 17, '191', 'GMT 191 2008'</v>
      </c>
    </row>
    <row r="45" spans="1:13" x14ac:dyDescent="0.2">
      <c r="A45" s="1">
        <v>34</v>
      </c>
      <c r="B45" s="1" t="s">
        <v>226</v>
      </c>
      <c r="D45" s="1" t="s">
        <v>330</v>
      </c>
      <c r="E45" s="1">
        <v>17</v>
      </c>
      <c r="F45" s="1">
        <v>192</v>
      </c>
      <c r="G45" t="s">
        <v>231</v>
      </c>
      <c r="I45" s="2"/>
      <c r="J45" s="2"/>
      <c r="K45" t="s">
        <v>361</v>
      </c>
      <c r="L45" s="10" t="s">
        <v>362</v>
      </c>
      <c r="M45" s="2" t="str">
        <f t="shared" si="1"/>
        <v>EXECUTE [dbo].[PG_CI_ARCUSFIL_PROGRAM_MODEL]  0, 0, 17, '192', 'GMT 192 2008'</v>
      </c>
    </row>
    <row r="46" spans="1:13" x14ac:dyDescent="0.2">
      <c r="A46" s="1">
        <v>34</v>
      </c>
      <c r="B46" s="1" t="s">
        <v>226</v>
      </c>
      <c r="D46" s="1" t="s">
        <v>330</v>
      </c>
      <c r="E46" s="1">
        <v>17</v>
      </c>
      <c r="F46" s="1" t="s">
        <v>229</v>
      </c>
      <c r="G46" t="s">
        <v>230</v>
      </c>
      <c r="I46" s="2"/>
      <c r="J46" s="2"/>
      <c r="K46" t="s">
        <v>361</v>
      </c>
      <c r="L46" s="10" t="s">
        <v>362</v>
      </c>
      <c r="M46" s="2" t="str">
        <f t="shared" si="1"/>
        <v>EXECUTE [dbo].[PG_CI_ARCUSFIL_PROGRAM_MODEL]  0, 0, 17, 'ARM', 'ARMREST GMT 193'</v>
      </c>
    </row>
    <row r="47" spans="1:13" x14ac:dyDescent="0.2">
      <c r="A47" s="1">
        <v>34</v>
      </c>
      <c r="B47" s="1" t="s">
        <v>226</v>
      </c>
      <c r="D47" s="1" t="s">
        <v>330</v>
      </c>
      <c r="E47" s="1">
        <v>17</v>
      </c>
      <c r="F47" s="1" t="s">
        <v>227</v>
      </c>
      <c r="G47" t="s">
        <v>228</v>
      </c>
      <c r="I47" s="2"/>
      <c r="J47" s="2"/>
      <c r="K47" t="s">
        <v>361</v>
      </c>
      <c r="L47" s="10" t="s">
        <v>362</v>
      </c>
      <c r="M47" s="2" t="str">
        <f t="shared" si="1"/>
        <v>EXECUTE [dbo].[PG_CI_ARCUSFIL_PROGRAM_MODEL]  0, 0, 17, 'G93', 'GMT 193 2008'</v>
      </c>
    </row>
    <row r="48" spans="1:13" x14ac:dyDescent="0.2">
      <c r="A48" s="1">
        <v>34</v>
      </c>
      <c r="B48" s="1" t="s">
        <v>226</v>
      </c>
      <c r="D48" s="1" t="s">
        <v>330</v>
      </c>
      <c r="E48" s="1">
        <v>17</v>
      </c>
      <c r="F48" s="1" t="s">
        <v>224</v>
      </c>
      <c r="G48" t="s">
        <v>225</v>
      </c>
      <c r="I48" s="2"/>
      <c r="J48" s="2"/>
      <c r="K48" t="s">
        <v>361</v>
      </c>
      <c r="L48" s="10" t="s">
        <v>362</v>
      </c>
      <c r="M48" s="2" t="str">
        <f t="shared" si="1"/>
        <v>EXECUTE [dbo].[PG_CI_ARCUSFIL_PROGRAM_MODEL]  0, 0, 17, 'GX2', 'GMT 192 GXP 2008'</v>
      </c>
    </row>
    <row r="49" spans="1:13" x14ac:dyDescent="0.2">
      <c r="A49" s="1">
        <v>32</v>
      </c>
      <c r="B49" s="1" t="s">
        <v>223</v>
      </c>
      <c r="C49" s="1" t="s">
        <v>354</v>
      </c>
      <c r="D49" s="1" t="s">
        <v>329</v>
      </c>
      <c r="E49" s="1">
        <v>18</v>
      </c>
      <c r="F49" s="1" t="s">
        <v>221</v>
      </c>
      <c r="G49" t="s">
        <v>222</v>
      </c>
      <c r="I49" s="2" t="s">
        <v>323</v>
      </c>
      <c r="J49" s="2" t="str">
        <f t="shared" ref="J49:J51" si="4">_xlfn.CONCAT(I49,A49,", '",TRIM(D49),"'")</f>
        <v>EXECUTE [dbo].[PG_CI_ARCUSFIL_PROGRAM]  0, 0, 32, 'U388'</v>
      </c>
      <c r="K49" t="s">
        <v>361</v>
      </c>
      <c r="L49" s="10" t="s">
        <v>362</v>
      </c>
      <c r="M49" s="2" t="str">
        <f t="shared" si="1"/>
        <v>EXECUTE [dbo].[PG_CI_ARCUSFIL_PROGRAM_MODEL]  0, 0, 18, 'PL0', 'U388 CONSOLE'</v>
      </c>
    </row>
    <row r="50" spans="1:13" x14ac:dyDescent="0.2">
      <c r="A50" s="1">
        <v>9</v>
      </c>
      <c r="B50" s="1" t="s">
        <v>217</v>
      </c>
      <c r="C50" s="1" t="s">
        <v>354</v>
      </c>
      <c r="D50" s="1" t="s">
        <v>335</v>
      </c>
      <c r="E50" s="1">
        <v>19</v>
      </c>
      <c r="F50" s="1" t="s">
        <v>218</v>
      </c>
      <c r="G50" t="s">
        <v>219</v>
      </c>
      <c r="I50" s="2" t="s">
        <v>323</v>
      </c>
      <c r="J50" s="2" t="str">
        <f t="shared" si="4"/>
        <v>EXECUTE [dbo].[PG_CI_ARCUSFIL_PROGRAM]  0, 0, 9, 'GM360'</v>
      </c>
      <c r="K50" t="s">
        <v>361</v>
      </c>
      <c r="L50" s="10" t="s">
        <v>362</v>
      </c>
      <c r="M50" s="2" t="str">
        <f t="shared" si="1"/>
        <v>EXECUTE [dbo].[PG_CI_ARCUSFIL_PROGRAM_MODEL]  0, 0, 19, 'CHI', 'GM360 CHEVY / ISUZU /GMC CHINA'</v>
      </c>
    </row>
    <row r="51" spans="1:13" x14ac:dyDescent="0.2">
      <c r="A51" s="1">
        <v>9</v>
      </c>
      <c r="B51" s="1" t="s">
        <v>217</v>
      </c>
      <c r="C51" s="1" t="s">
        <v>354</v>
      </c>
      <c r="D51" s="1" t="s">
        <v>334</v>
      </c>
      <c r="E51" s="1">
        <v>20</v>
      </c>
      <c r="F51" s="1">
        <v>114</v>
      </c>
      <c r="G51" t="s">
        <v>220</v>
      </c>
      <c r="I51" s="2" t="s">
        <v>323</v>
      </c>
      <c r="J51" s="2" t="str">
        <f t="shared" si="4"/>
        <v>EXECUTE [dbo].[PG_CI_ARCUSFIL_PROGRAM]  0, 0, 9, 'JCI'</v>
      </c>
      <c r="K51" t="s">
        <v>361</v>
      </c>
      <c r="L51" s="10" t="s">
        <v>362</v>
      </c>
      <c r="M51" s="2" t="str">
        <f t="shared" si="1"/>
        <v>EXECUTE [dbo].[PG_CI_ARCUSFIL_PROGRAM_MODEL]  0, 0, 20, '114', 'EN114 CONSOLE JCI'</v>
      </c>
    </row>
    <row r="52" spans="1:13" x14ac:dyDescent="0.2">
      <c r="A52" s="1">
        <v>9</v>
      </c>
      <c r="B52" s="1" t="s">
        <v>217</v>
      </c>
      <c r="D52" s="1" t="s">
        <v>334</v>
      </c>
      <c r="E52" s="1">
        <v>20</v>
      </c>
      <c r="F52" s="1" t="s">
        <v>215</v>
      </c>
      <c r="G52" t="s">
        <v>216</v>
      </c>
      <c r="I52" s="2"/>
      <c r="J52" s="2"/>
      <c r="K52" t="s">
        <v>361</v>
      </c>
      <c r="L52" s="10" t="s">
        <v>362</v>
      </c>
      <c r="M52" s="2" t="str">
        <f t="shared" si="1"/>
        <v>EXECUTE [dbo].[PG_CI_ARCUSFIL_PROGRAM_MODEL]  0, 0, 20, 'JCT', 'JCI-TESLA'</v>
      </c>
    </row>
    <row r="53" spans="1:13" x14ac:dyDescent="0.2">
      <c r="A53" s="1">
        <v>37</v>
      </c>
      <c r="B53" s="1" t="s">
        <v>202</v>
      </c>
      <c r="C53" s="1" t="s">
        <v>354</v>
      </c>
      <c r="D53" s="1" t="s">
        <v>335</v>
      </c>
      <c r="E53" s="1">
        <v>21</v>
      </c>
      <c r="F53" s="1" t="s">
        <v>211</v>
      </c>
      <c r="G53" t="s">
        <v>212</v>
      </c>
      <c r="I53" s="2" t="s">
        <v>323</v>
      </c>
      <c r="J53" s="2" t="str">
        <f>_xlfn.CONCAT(I53,A53,", '",TRIM(D53),"'")</f>
        <v>EXECUTE [dbo].[PG_CI_ARCUSFIL_PROGRAM]  0, 0, 37, 'GM360'</v>
      </c>
      <c r="K53" t="s">
        <v>361</v>
      </c>
      <c r="L53" s="10" t="s">
        <v>362</v>
      </c>
      <c r="M53" s="2" t="str">
        <f t="shared" si="1"/>
        <v>EXECUTE [dbo].[PG_CI_ARCUSFIL_PROGRAM_MODEL]  0, 0, 21, 'BUI', 'GM 360 BUICK'</v>
      </c>
    </row>
    <row r="54" spans="1:13" x14ac:dyDescent="0.2">
      <c r="A54" s="1">
        <v>37</v>
      </c>
      <c r="B54" s="1" t="s">
        <v>202</v>
      </c>
      <c r="D54" s="1" t="s">
        <v>335</v>
      </c>
      <c r="E54" s="1">
        <v>21</v>
      </c>
      <c r="F54" s="1" t="s">
        <v>209</v>
      </c>
      <c r="G54" t="s">
        <v>210</v>
      </c>
      <c r="I54" s="2"/>
      <c r="J54" s="2"/>
      <c r="K54" t="s">
        <v>361</v>
      </c>
      <c r="L54" s="10" t="s">
        <v>362</v>
      </c>
      <c r="M54" s="2" t="str">
        <f t="shared" si="1"/>
        <v>EXECUTE [dbo].[PG_CI_ARCUSFIL_PROGRAM_MODEL]  0, 0, 21, 'CHE', 'GM 360 CHEVY / ISUZU / GMC'</v>
      </c>
    </row>
    <row r="55" spans="1:13" x14ac:dyDescent="0.2">
      <c r="A55" s="1">
        <v>37</v>
      </c>
      <c r="B55" s="1" t="s">
        <v>202</v>
      </c>
      <c r="D55" s="1" t="s">
        <v>335</v>
      </c>
      <c r="E55" s="1">
        <v>21</v>
      </c>
      <c r="F55" s="1" t="s">
        <v>207</v>
      </c>
      <c r="G55" t="s">
        <v>208</v>
      </c>
      <c r="I55" s="2"/>
      <c r="J55" s="2"/>
      <c r="K55" t="s">
        <v>361</v>
      </c>
      <c r="L55" s="10" t="s">
        <v>362</v>
      </c>
      <c r="M55" s="2" t="str">
        <f t="shared" si="1"/>
        <v>EXECUTE [dbo].[PG_CI_ARCUSFIL_PROGRAM_MODEL]  0, 0, 21, 'DEN', 'GM 360 DENALY'</v>
      </c>
    </row>
    <row r="56" spans="1:13" x14ac:dyDescent="0.2">
      <c r="A56" s="1">
        <v>37</v>
      </c>
      <c r="B56" s="1" t="s">
        <v>202</v>
      </c>
      <c r="D56" s="1" t="s">
        <v>335</v>
      </c>
      <c r="E56" s="1">
        <v>21</v>
      </c>
      <c r="F56" s="1" t="s">
        <v>205</v>
      </c>
      <c r="G56" t="s">
        <v>206</v>
      </c>
      <c r="I56" s="2"/>
      <c r="J56" s="2"/>
      <c r="K56" t="s">
        <v>361</v>
      </c>
      <c r="L56" s="10" t="s">
        <v>362</v>
      </c>
      <c r="M56" s="2" t="str">
        <f t="shared" si="1"/>
        <v>EXECUTE [dbo].[PG_CI_ARCUSFIL_PROGRAM_MODEL]  0, 0, 21, 'GSS', 'GM 360 TRAILBLAZER SS'</v>
      </c>
    </row>
    <row r="57" spans="1:13" x14ac:dyDescent="0.2">
      <c r="A57" s="1">
        <v>37</v>
      </c>
      <c r="B57" s="1" t="s">
        <v>202</v>
      </c>
      <c r="D57" s="1" t="s">
        <v>335</v>
      </c>
      <c r="E57" s="1">
        <v>21</v>
      </c>
      <c r="F57" s="1" t="s">
        <v>200</v>
      </c>
      <c r="G57" t="s">
        <v>201</v>
      </c>
      <c r="I57" s="2"/>
      <c r="J57" s="2"/>
      <c r="K57" t="s">
        <v>361</v>
      </c>
      <c r="L57" s="10" t="s">
        <v>362</v>
      </c>
      <c r="M57" s="2" t="str">
        <f t="shared" si="1"/>
        <v>EXECUTE [dbo].[PG_CI_ARCUSFIL_PROGRAM_MODEL]  0, 0, 21, 'SAA', 'GM 360 SAAB'</v>
      </c>
    </row>
    <row r="58" spans="1:13" x14ac:dyDescent="0.2">
      <c r="A58" s="1">
        <v>37</v>
      </c>
      <c r="B58" s="1" t="s">
        <v>202</v>
      </c>
      <c r="C58" s="1" t="s">
        <v>354</v>
      </c>
      <c r="D58" s="1" t="s">
        <v>336</v>
      </c>
      <c r="E58" s="1">
        <v>22</v>
      </c>
      <c r="F58" s="1">
        <v>415</v>
      </c>
      <c r="G58" t="s">
        <v>213</v>
      </c>
      <c r="I58" s="2" t="s">
        <v>323</v>
      </c>
      <c r="J58" s="2" t="str">
        <f t="shared" ref="J58:J59" si="5">_xlfn.CONCAT(I58,A58,", '",TRIM(D58),"'")</f>
        <v>EXECUTE [dbo].[PG_CI_ARCUSFIL_PROGRAM]  0, 0, 37, 'P415'</v>
      </c>
      <c r="K58" t="s">
        <v>361</v>
      </c>
      <c r="L58" s="10" t="s">
        <v>362</v>
      </c>
      <c r="M58" s="2" t="str">
        <f t="shared" si="1"/>
        <v>EXECUTE [dbo].[PG_CI_ARCUSFIL_PROGRAM_MODEL]  0, 0, 22, '415', 'P415 PLATINIUM'</v>
      </c>
    </row>
    <row r="59" spans="1:13" x14ac:dyDescent="0.2">
      <c r="A59" s="1">
        <v>37</v>
      </c>
      <c r="B59" s="1" t="s">
        <v>202</v>
      </c>
      <c r="C59" s="1" t="s">
        <v>354</v>
      </c>
      <c r="D59" s="1" t="s">
        <v>337</v>
      </c>
      <c r="E59" s="1">
        <v>23</v>
      </c>
      <c r="F59" s="1">
        <v>228</v>
      </c>
      <c r="G59" t="s">
        <v>214</v>
      </c>
      <c r="I59" s="2" t="s">
        <v>323</v>
      </c>
      <c r="J59" s="2" t="str">
        <f t="shared" si="5"/>
        <v>EXECUTE [dbo].[PG_CI_ARCUSFIL_PROGRAM]  0, 0, 37, 'U228'</v>
      </c>
      <c r="K59" t="s">
        <v>361</v>
      </c>
      <c r="L59" s="10" t="s">
        <v>362</v>
      </c>
      <c r="M59" s="2" t="str">
        <f t="shared" si="1"/>
        <v>EXECUTE [dbo].[PG_CI_ARCUSFIL_PROGRAM_MODEL]  0, 0, 23, '228', 'U228 NAVIGATOR LUX/ULT'</v>
      </c>
    </row>
    <row r="60" spans="1:13" x14ac:dyDescent="0.2">
      <c r="A60" s="1">
        <v>37</v>
      </c>
      <c r="B60" s="1" t="s">
        <v>202</v>
      </c>
      <c r="D60" s="1" t="s">
        <v>337</v>
      </c>
      <c r="E60" s="1">
        <v>23</v>
      </c>
      <c r="F60" s="1" t="s">
        <v>203</v>
      </c>
      <c r="G60" t="s">
        <v>204</v>
      </c>
      <c r="I60" s="2"/>
      <c r="J60" s="2"/>
      <c r="K60" t="s">
        <v>361</v>
      </c>
      <c r="L60" s="10" t="s">
        <v>362</v>
      </c>
      <c r="M60" s="2" t="str">
        <f t="shared" si="1"/>
        <v>EXECUTE [dbo].[PG_CI_ARCUSFIL_PROGRAM_MODEL]  0, 0, 23, 'NAV', 'U228 NAVIGATOR LUX EDIASA 3'</v>
      </c>
    </row>
    <row r="61" spans="1:13" x14ac:dyDescent="0.2">
      <c r="A61" s="1">
        <v>38</v>
      </c>
      <c r="B61" s="1" t="s">
        <v>197</v>
      </c>
      <c r="C61" s="1" t="s">
        <v>354</v>
      </c>
      <c r="D61" s="1" t="s">
        <v>335</v>
      </c>
      <c r="E61" s="1">
        <v>24</v>
      </c>
      <c r="F61" s="1" t="s">
        <v>198</v>
      </c>
      <c r="G61" t="s">
        <v>199</v>
      </c>
      <c r="I61" s="2" t="s">
        <v>323</v>
      </c>
      <c r="J61" s="2" t="str">
        <f>_xlfn.CONCAT(I61,A61,", '",TRIM(D61),"'")</f>
        <v>EXECUTE [dbo].[PG_CI_ARCUSFIL_PROGRAM]  0, 0, 38, 'GM360'</v>
      </c>
      <c r="K61" t="s">
        <v>361</v>
      </c>
      <c r="L61" s="10" t="s">
        <v>362</v>
      </c>
      <c r="M61" s="2" t="str">
        <f t="shared" si="1"/>
        <v>EXECUTE [dbo].[PG_CI_ARCUSFIL_PROGRAM_MODEL]  0, 0, 24, 'SHA', 'GM 360 CHEVY/ISUZU/GMC SHANGAI'</v>
      </c>
    </row>
    <row r="62" spans="1:13" x14ac:dyDescent="0.2">
      <c r="A62" s="1">
        <v>38</v>
      </c>
      <c r="B62" s="1" t="s">
        <v>197</v>
      </c>
      <c r="D62" s="1" t="s">
        <v>335</v>
      </c>
      <c r="E62" s="1">
        <v>24</v>
      </c>
      <c r="F62" s="1" t="s">
        <v>195</v>
      </c>
      <c r="G62" t="s">
        <v>196</v>
      </c>
      <c r="I62" s="2"/>
      <c r="J62" s="2"/>
      <c r="K62" t="s">
        <v>361</v>
      </c>
      <c r="L62" s="10" t="s">
        <v>362</v>
      </c>
      <c r="M62" s="2" t="str">
        <f t="shared" si="1"/>
        <v>EXECUTE [dbo].[PG_CI_ARCUSFIL_PROGRAM_MODEL]  0, 0, 24, 'SHI', 'GM360 CHEVY SHANGAI'</v>
      </c>
    </row>
    <row r="63" spans="1:13" x14ac:dyDescent="0.2">
      <c r="A63" s="1">
        <v>39</v>
      </c>
      <c r="B63" s="1" t="s">
        <v>194</v>
      </c>
      <c r="C63" s="1" t="s">
        <v>354</v>
      </c>
      <c r="D63" s="1" t="s">
        <v>329</v>
      </c>
      <c r="E63" s="1">
        <v>25</v>
      </c>
      <c r="F63" s="1" t="s">
        <v>193</v>
      </c>
      <c r="G63" t="s">
        <v>20</v>
      </c>
      <c r="I63" s="2" t="s">
        <v>323</v>
      </c>
      <c r="J63" s="2" t="str">
        <f t="shared" ref="J63:J64" si="6">_xlfn.CONCAT(I63,A63,", '",TRIM(D63),"'")</f>
        <v>EXECUTE [dbo].[PG_CI_ARCUSFIL_PROGRAM]  0, 0, 39, 'U388'</v>
      </c>
      <c r="K63" t="s">
        <v>361</v>
      </c>
      <c r="L63" s="10" t="s">
        <v>362</v>
      </c>
      <c r="M63" s="2" t="str">
        <f t="shared" si="1"/>
        <v>EXECUTE [dbo].[PG_CI_ARCUSFIL_PROGRAM_MODEL]  0, 0, 25, 'KHE', 'U388 HEADREST'</v>
      </c>
    </row>
    <row r="64" spans="1:13" x14ac:dyDescent="0.2">
      <c r="A64" s="1">
        <v>13</v>
      </c>
      <c r="B64" s="1" t="s">
        <v>175</v>
      </c>
      <c r="C64" s="1" t="s">
        <v>354</v>
      </c>
      <c r="D64" s="1" t="s">
        <v>340</v>
      </c>
      <c r="E64" s="1">
        <v>26</v>
      </c>
      <c r="F64" s="1" t="s">
        <v>178</v>
      </c>
      <c r="G64" t="s">
        <v>179</v>
      </c>
      <c r="I64" s="2" t="s">
        <v>323</v>
      </c>
      <c r="J64" s="2" t="str">
        <f t="shared" si="6"/>
        <v>EXECUTE [dbo].[PG_CI_ARCUSFIL_PROGRAM]  0, 0, 13, 'D258'</v>
      </c>
      <c r="K64" t="s">
        <v>361</v>
      </c>
      <c r="L64" s="10" t="s">
        <v>362</v>
      </c>
      <c r="M64" s="2" t="str">
        <f t="shared" si="1"/>
        <v>EXECUTE [dbo].[PG_CI_ARCUSFIL_PROGRAM_MODEL]  0, 0, 26, 'THL', '2013 D258 TAURUS LTD'</v>
      </c>
    </row>
    <row r="65" spans="1:13" x14ac:dyDescent="0.2">
      <c r="A65" s="1">
        <v>13</v>
      </c>
      <c r="B65" s="1" t="s">
        <v>175</v>
      </c>
      <c r="D65" s="1" t="s">
        <v>340</v>
      </c>
      <c r="E65" s="1">
        <v>26</v>
      </c>
      <c r="F65" s="1" t="s">
        <v>176</v>
      </c>
      <c r="G65" t="s">
        <v>177</v>
      </c>
      <c r="I65" s="2"/>
      <c r="J65" s="2"/>
      <c r="K65" t="s">
        <v>361</v>
      </c>
      <c r="L65" s="10" t="s">
        <v>362</v>
      </c>
      <c r="M65" s="2" t="str">
        <f t="shared" si="1"/>
        <v>EXECUTE [dbo].[PG_CI_ARCUSFIL_PROGRAM_MODEL]  0, 0, 26, 'THO', '2013 D258 TAURUS SHO &amp; LIMITED'</v>
      </c>
    </row>
    <row r="66" spans="1:13" x14ac:dyDescent="0.2">
      <c r="A66" s="1">
        <v>13</v>
      </c>
      <c r="B66" s="1" t="s">
        <v>175</v>
      </c>
      <c r="D66" s="1" t="s">
        <v>340</v>
      </c>
      <c r="E66" s="1">
        <v>26</v>
      </c>
      <c r="F66" s="1" t="s">
        <v>173</v>
      </c>
      <c r="G66" t="s">
        <v>174</v>
      </c>
      <c r="I66" s="2"/>
      <c r="J66" s="2"/>
      <c r="K66" t="s">
        <v>361</v>
      </c>
      <c r="L66" s="10" t="s">
        <v>362</v>
      </c>
      <c r="M66" s="2" t="str">
        <f t="shared" si="1"/>
        <v>EXECUTE [dbo].[PG_CI_ARCUSFIL_PROGRAM_MODEL]  0, 0, 26, 'TSL', '2013 D258 TAURUS SEL'</v>
      </c>
    </row>
    <row r="67" spans="1:13" x14ac:dyDescent="0.2">
      <c r="A67" s="1">
        <v>13</v>
      </c>
      <c r="B67" s="1" t="s">
        <v>175</v>
      </c>
      <c r="C67" s="1" t="s">
        <v>354</v>
      </c>
      <c r="D67" s="1" t="s">
        <v>338</v>
      </c>
      <c r="E67" s="1">
        <v>27</v>
      </c>
      <c r="F67" s="1">
        <v>365</v>
      </c>
      <c r="G67" t="s">
        <v>192</v>
      </c>
      <c r="I67" s="2" t="s">
        <v>323</v>
      </c>
      <c r="J67" s="2" t="str">
        <f>_xlfn.CONCAT(I67,A67,", '",TRIM(D67),"'")</f>
        <v>EXECUTE [dbo].[PG_CI_ARCUSFIL_PROGRAM]  0, 0, 13, 'GMX365'</v>
      </c>
      <c r="K67" t="s">
        <v>361</v>
      </c>
      <c r="L67" s="10" t="s">
        <v>362</v>
      </c>
      <c r="M67" s="2" t="str">
        <f t="shared" si="1"/>
        <v>EXECUTE [dbo].[PG_CI_ARCUSFIL_PROGRAM_MODEL]  0, 0, 27, '365', 'GMX 365 2008 FIXED'</v>
      </c>
    </row>
    <row r="68" spans="1:13" x14ac:dyDescent="0.2">
      <c r="A68" s="1">
        <v>13</v>
      </c>
      <c r="B68" s="1" t="s">
        <v>175</v>
      </c>
      <c r="D68" s="1" t="s">
        <v>338</v>
      </c>
      <c r="E68" s="1">
        <v>27</v>
      </c>
      <c r="F68" s="1" t="s">
        <v>188</v>
      </c>
      <c r="G68" t="s">
        <v>189</v>
      </c>
      <c r="I68" s="2"/>
      <c r="J68" s="2"/>
      <c r="K68" t="s">
        <v>361</v>
      </c>
      <c r="L68" s="10" t="s">
        <v>362</v>
      </c>
      <c r="M68" s="2" t="str">
        <f t="shared" ref="M68:M130" si="7">_xlfn.CONCAT(L68,E68,", '",TRIM(F68),"', '",TRIM(G68),"'")</f>
        <v>EXECUTE [dbo].[PG_CI_ARCUSFIL_PROGRAM_MODEL]  0, 0, 27, 'G65', 'GMX365 BUICK LACROSSE'</v>
      </c>
    </row>
    <row r="69" spans="1:13" x14ac:dyDescent="0.2">
      <c r="A69" s="1">
        <v>13</v>
      </c>
      <c r="B69" s="1" t="s">
        <v>175</v>
      </c>
      <c r="C69" s="1" t="s">
        <v>354</v>
      </c>
      <c r="D69" s="1" t="s">
        <v>339</v>
      </c>
      <c r="E69" s="1">
        <v>28</v>
      </c>
      <c r="F69" s="1" t="s">
        <v>190</v>
      </c>
      <c r="G69" t="s">
        <v>191</v>
      </c>
      <c r="I69" s="2" t="s">
        <v>323</v>
      </c>
      <c r="J69" s="2" t="str">
        <f>_xlfn.CONCAT(I69,A69,", '",TRIM(D69),"'")</f>
        <v>EXECUTE [dbo].[PG_CI_ARCUSFIL_PROGRAM]  0, 0, 13, 'S197'</v>
      </c>
      <c r="K69" t="s">
        <v>361</v>
      </c>
      <c r="L69" s="10" t="s">
        <v>362</v>
      </c>
      <c r="M69" s="2" t="str">
        <f t="shared" si="7"/>
        <v>EXECUTE [dbo].[PG_CI_ARCUSFIL_PROGRAM_MODEL]  0, 0, 28, 'CAL', '2013 S197 MUSTANG CALIFORNIA'</v>
      </c>
    </row>
    <row r="70" spans="1:13" x14ac:dyDescent="0.2">
      <c r="A70" s="1">
        <v>13</v>
      </c>
      <c r="B70" s="1" t="s">
        <v>175</v>
      </c>
      <c r="D70" s="1" t="s">
        <v>339</v>
      </c>
      <c r="E70" s="1">
        <v>28</v>
      </c>
      <c r="F70" s="1" t="s">
        <v>186</v>
      </c>
      <c r="G70" t="s">
        <v>187</v>
      </c>
      <c r="I70" s="2"/>
      <c r="J70" s="2"/>
      <c r="K70" t="s">
        <v>361</v>
      </c>
      <c r="L70" s="10" t="s">
        <v>362</v>
      </c>
      <c r="M70" s="2" t="str">
        <f t="shared" si="7"/>
        <v>EXECUTE [dbo].[PG_CI_ARCUSFIL_PROGRAM_MODEL]  0, 0, 28, 'IUP', '2013 S197 MUSTANG IUP'</v>
      </c>
    </row>
    <row r="71" spans="1:13" x14ac:dyDescent="0.2">
      <c r="A71" s="1">
        <v>13</v>
      </c>
      <c r="B71" s="1" t="s">
        <v>175</v>
      </c>
      <c r="D71" s="1" t="s">
        <v>339</v>
      </c>
      <c r="E71" s="1">
        <v>28</v>
      </c>
      <c r="F71" s="1" t="s">
        <v>184</v>
      </c>
      <c r="G71" t="s">
        <v>185</v>
      </c>
      <c r="I71" s="2"/>
      <c r="J71" s="2"/>
      <c r="K71" t="s">
        <v>361</v>
      </c>
      <c r="L71" s="10" t="s">
        <v>362</v>
      </c>
      <c r="M71" s="2" t="str">
        <f t="shared" si="7"/>
        <v>EXECUTE [dbo].[PG_CI_ARCUSFIL_PROGRAM_MODEL]  0, 0, 28, 'PRM', '2013 S197 MUSTANG PREMIUM'</v>
      </c>
    </row>
    <row r="72" spans="1:13" x14ac:dyDescent="0.2">
      <c r="A72" s="1">
        <v>13</v>
      </c>
      <c r="B72" s="1" t="s">
        <v>175</v>
      </c>
      <c r="D72" s="1" t="s">
        <v>339</v>
      </c>
      <c r="E72" s="1">
        <v>28</v>
      </c>
      <c r="F72" s="1" t="s">
        <v>182</v>
      </c>
      <c r="G72" t="s">
        <v>183</v>
      </c>
      <c r="I72" s="2"/>
      <c r="J72" s="2"/>
      <c r="K72" t="s">
        <v>361</v>
      </c>
      <c r="L72" s="10" t="s">
        <v>362</v>
      </c>
      <c r="M72" s="2" t="str">
        <f t="shared" si="7"/>
        <v>EXECUTE [dbo].[PG_CI_ARCUSFIL_PROGRAM_MODEL]  0, 0, 28, 'SH1', '2013 S197 MUSTANG SHELBY 5B8'</v>
      </c>
    </row>
    <row r="73" spans="1:13" x14ac:dyDescent="0.2">
      <c r="A73" s="1">
        <v>13</v>
      </c>
      <c r="B73" s="1" t="s">
        <v>175</v>
      </c>
      <c r="D73" s="1" t="s">
        <v>339</v>
      </c>
      <c r="E73" s="1">
        <v>28</v>
      </c>
      <c r="F73" s="1" t="s">
        <v>180</v>
      </c>
      <c r="G73" t="s">
        <v>181</v>
      </c>
      <c r="I73" s="2"/>
      <c r="J73" s="2"/>
      <c r="K73" t="s">
        <v>361</v>
      </c>
      <c r="L73" s="10" t="s">
        <v>362</v>
      </c>
      <c r="M73" s="2" t="str">
        <f t="shared" si="7"/>
        <v>EXECUTE [dbo].[PG_CI_ARCUSFIL_PROGRAM_MODEL]  0, 0, 28, 'SH2', '2013 S197 MUSTANG SHELBY TT'</v>
      </c>
    </row>
    <row r="74" spans="1:13" x14ac:dyDescent="0.2">
      <c r="A74" s="1">
        <v>17</v>
      </c>
      <c r="B74" s="1" t="s">
        <v>136</v>
      </c>
      <c r="C74" s="1" t="s">
        <v>354</v>
      </c>
      <c r="D74" s="1" t="s">
        <v>341</v>
      </c>
      <c r="E74" s="1">
        <v>29</v>
      </c>
      <c r="F74" s="1" t="s">
        <v>171</v>
      </c>
      <c r="G74" t="s">
        <v>172</v>
      </c>
      <c r="I74" s="2" t="s">
        <v>323</v>
      </c>
      <c r="J74" s="2" t="str">
        <f>_xlfn.CONCAT(I74,A74,", '",TRIM(D74),"'")</f>
        <v>EXECUTE [dbo].[PG_CI_ARCUSFIL_PROGRAM]  0, 0, 17, 'GMX001'</v>
      </c>
      <c r="K74" t="s">
        <v>361</v>
      </c>
      <c r="L74" s="10" t="s">
        <v>362</v>
      </c>
      <c r="M74" s="2" t="str">
        <f t="shared" si="7"/>
        <v>EXECUTE [dbo].[PG_CI_ARCUSFIL_PROGRAM_MODEL]  0, 0, 29, 'GMC', 'GMX 001 COUPE'</v>
      </c>
    </row>
    <row r="75" spans="1:13" x14ac:dyDescent="0.2">
      <c r="A75" s="1">
        <v>17</v>
      </c>
      <c r="B75" s="1" t="s">
        <v>136</v>
      </c>
      <c r="D75" s="1" t="s">
        <v>341</v>
      </c>
      <c r="E75" s="1">
        <v>29</v>
      </c>
      <c r="F75" s="1" t="s">
        <v>169</v>
      </c>
      <c r="G75" t="s">
        <v>170</v>
      </c>
      <c r="I75" s="2"/>
      <c r="J75" s="2"/>
      <c r="K75" t="s">
        <v>361</v>
      </c>
      <c r="L75" s="10" t="s">
        <v>362</v>
      </c>
      <c r="M75" s="2" t="str">
        <f t="shared" si="7"/>
        <v>EXECUTE [dbo].[PG_CI_ARCUSFIL_PROGRAM_MODEL]  0, 0, 29, 'GX1', 'GMX 001 COUPE L4'</v>
      </c>
    </row>
    <row r="76" spans="1:13" x14ac:dyDescent="0.2">
      <c r="A76" s="1">
        <v>17</v>
      </c>
      <c r="B76" s="1" t="s">
        <v>136</v>
      </c>
      <c r="D76" s="1" t="s">
        <v>341</v>
      </c>
      <c r="E76" s="1">
        <v>29</v>
      </c>
      <c r="F76" s="1" t="s">
        <v>167</v>
      </c>
      <c r="G76" t="s">
        <v>168</v>
      </c>
      <c r="I76" s="2"/>
      <c r="J76" s="2"/>
      <c r="K76" t="s">
        <v>361</v>
      </c>
      <c r="L76" s="10" t="s">
        <v>362</v>
      </c>
      <c r="M76" s="2" t="str">
        <f t="shared" si="7"/>
        <v>EXECUTE [dbo].[PG_CI_ARCUSFIL_PROGRAM_MODEL]  0, 0, 29, 'GXS', 'GMX001 SEDAN'</v>
      </c>
    </row>
    <row r="77" spans="1:13" x14ac:dyDescent="0.2">
      <c r="A77" s="1">
        <v>17</v>
      </c>
      <c r="B77" s="1" t="s">
        <v>136</v>
      </c>
      <c r="C77" s="1" t="s">
        <v>354</v>
      </c>
      <c r="D77" s="1" t="s">
        <v>343</v>
      </c>
      <c r="E77" s="1">
        <v>30</v>
      </c>
      <c r="F77" s="1" t="s">
        <v>155</v>
      </c>
      <c r="G77" t="s">
        <v>156</v>
      </c>
      <c r="I77" s="2" t="s">
        <v>323</v>
      </c>
      <c r="J77" s="2" t="str">
        <f>_xlfn.CONCAT(I77,A77,", '",TRIM(D77),"'")</f>
        <v>EXECUTE [dbo].[PG_CI_ARCUSFIL_PROGRAM]  0, 0, 17, 'U204'</v>
      </c>
      <c r="K77" t="s">
        <v>361</v>
      </c>
      <c r="L77" s="10" t="s">
        <v>362</v>
      </c>
      <c r="M77" s="2" t="str">
        <f t="shared" si="7"/>
        <v>EXECUTE [dbo].[PG_CI_ARCUSFIL_PROGRAM_MODEL]  0, 0, 30, 'U20', 'U204 MAZDA AIR BAG'</v>
      </c>
    </row>
    <row r="78" spans="1:13" x14ac:dyDescent="0.2">
      <c r="A78" s="1">
        <v>17</v>
      </c>
      <c r="B78" s="1" t="s">
        <v>136</v>
      </c>
      <c r="D78" s="1" t="s">
        <v>343</v>
      </c>
      <c r="E78" s="1">
        <v>30</v>
      </c>
      <c r="F78" s="1" t="s">
        <v>153</v>
      </c>
      <c r="G78" t="s">
        <v>154</v>
      </c>
      <c r="I78" s="2"/>
      <c r="J78" s="2"/>
      <c r="K78" t="s">
        <v>361</v>
      </c>
      <c r="L78" s="10" t="s">
        <v>362</v>
      </c>
      <c r="M78" s="2" t="str">
        <f t="shared" si="7"/>
        <v>EXECUTE [dbo].[PG_CI_ARCUSFIL_PROGRAM_MODEL]  0, 0, 30, 'U2F', 'U204 FORD LTD AB'</v>
      </c>
    </row>
    <row r="79" spans="1:13" x14ac:dyDescent="0.2">
      <c r="A79" s="1">
        <v>17</v>
      </c>
      <c r="B79" s="1" t="s">
        <v>136</v>
      </c>
      <c r="D79" s="1" t="s">
        <v>343</v>
      </c>
      <c r="E79" s="1">
        <v>30</v>
      </c>
      <c r="F79" s="1" t="s">
        <v>151</v>
      </c>
      <c r="G79" t="s">
        <v>152</v>
      </c>
      <c r="I79" s="2"/>
      <c r="J79" s="2"/>
      <c r="K79" t="s">
        <v>361</v>
      </c>
      <c r="L79" s="10" t="s">
        <v>362</v>
      </c>
      <c r="M79" s="2" t="str">
        <f t="shared" si="7"/>
        <v>EXECUTE [dbo].[PG_CI_ARCUSFIL_PROGRAM_MODEL]  0, 0, 30, 'U2L', 'U204 FORD LTD STD'</v>
      </c>
    </row>
    <row r="80" spans="1:13" x14ac:dyDescent="0.2">
      <c r="A80" s="1">
        <v>17</v>
      </c>
      <c r="B80" s="1" t="s">
        <v>136</v>
      </c>
      <c r="D80" s="1" t="s">
        <v>343</v>
      </c>
      <c r="E80" s="1">
        <v>30</v>
      </c>
      <c r="F80" s="1" t="s">
        <v>149</v>
      </c>
      <c r="G80" t="s">
        <v>150</v>
      </c>
      <c r="I80" s="2"/>
      <c r="J80" s="2"/>
      <c r="K80" t="s">
        <v>361</v>
      </c>
      <c r="L80" s="10" t="s">
        <v>362</v>
      </c>
      <c r="M80" s="2" t="str">
        <f t="shared" si="7"/>
        <v>EXECUTE [dbo].[PG_CI_ARCUSFIL_PROGRAM_MODEL]  0, 0, 30, 'U2M', 'U204 MAZDA PREMIUM'</v>
      </c>
    </row>
    <row r="81" spans="1:13" x14ac:dyDescent="0.2">
      <c r="A81" s="1">
        <v>17</v>
      </c>
      <c r="B81" s="1" t="s">
        <v>136</v>
      </c>
      <c r="C81" s="1" t="s">
        <v>354</v>
      </c>
      <c r="D81" s="1" t="s">
        <v>328</v>
      </c>
      <c r="E81" s="1">
        <v>31</v>
      </c>
      <c r="F81" s="1" t="s">
        <v>145</v>
      </c>
      <c r="G81" t="s">
        <v>146</v>
      </c>
      <c r="I81" s="2" t="s">
        <v>323</v>
      </c>
      <c r="J81" s="2" t="str">
        <f>_xlfn.CONCAT(I81,A81,", '",TRIM(D81),"'")</f>
        <v>EXECUTE [dbo].[PG_CI_ARCUSFIL_PROGRAM]  0, 0, 17, 'U364'</v>
      </c>
      <c r="K81" t="s">
        <v>361</v>
      </c>
      <c r="L81" s="10" t="s">
        <v>362</v>
      </c>
      <c r="M81" s="2" t="str">
        <f t="shared" si="7"/>
        <v>EXECUTE [dbo].[PG_CI_ARCUSFIL_PROGRAM_MODEL]  0, 0, 31, 'U3L', 'U364 MERCURY LTD STD'</v>
      </c>
    </row>
    <row r="82" spans="1:13" x14ac:dyDescent="0.2">
      <c r="A82" s="1">
        <v>17</v>
      </c>
      <c r="B82" s="1" t="s">
        <v>136</v>
      </c>
      <c r="D82" s="1" t="s">
        <v>328</v>
      </c>
      <c r="E82" s="1">
        <v>31</v>
      </c>
      <c r="F82" s="1" t="s">
        <v>141</v>
      </c>
      <c r="G82" t="s">
        <v>142</v>
      </c>
      <c r="I82" s="2"/>
      <c r="J82" s="2"/>
      <c r="K82" t="s">
        <v>361</v>
      </c>
      <c r="L82" s="10" t="s">
        <v>362</v>
      </c>
      <c r="M82" s="2" t="str">
        <f t="shared" si="7"/>
        <v>EXECUTE [dbo].[PG_CI_ARCUSFIL_PROGRAM_MODEL]  0, 0, 31, 'U3P', 'U364 MCY PREMIUM'</v>
      </c>
    </row>
    <row r="83" spans="1:13" x14ac:dyDescent="0.2">
      <c r="A83" s="1">
        <v>17</v>
      </c>
      <c r="B83" s="1" t="s">
        <v>136</v>
      </c>
      <c r="C83" s="1" t="s">
        <v>354</v>
      </c>
      <c r="D83" s="1" t="s">
        <v>325</v>
      </c>
      <c r="E83" s="1">
        <v>32</v>
      </c>
      <c r="F83" s="1" t="s">
        <v>165</v>
      </c>
      <c r="G83" t="s">
        <v>166</v>
      </c>
      <c r="I83" s="2" t="s">
        <v>323</v>
      </c>
      <c r="J83" s="2" t="str">
        <f>_xlfn.CONCAT(I83,A83,", '",TRIM(D83),"'")</f>
        <v>EXECUTE [dbo].[PG_CI_ARCUSFIL_PROGRAM]  0, 0, 17, 'U377'</v>
      </c>
      <c r="K83" t="s">
        <v>361</v>
      </c>
      <c r="L83" s="10" t="s">
        <v>362</v>
      </c>
      <c r="M83" s="2" t="str">
        <f t="shared" si="7"/>
        <v>EXECUTE [dbo].[PG_CI_ARCUSFIL_PROGRAM_MODEL]  0, 0, 32, 'HRM', 'U377 HEADREST 2010'</v>
      </c>
    </row>
    <row r="84" spans="1:13" x14ac:dyDescent="0.2">
      <c r="A84" s="1">
        <v>17</v>
      </c>
      <c r="B84" s="1" t="s">
        <v>136</v>
      </c>
      <c r="D84" s="1" t="s">
        <v>325</v>
      </c>
      <c r="E84" s="1">
        <v>32</v>
      </c>
      <c r="F84" s="1" t="s">
        <v>163</v>
      </c>
      <c r="G84" t="s">
        <v>164</v>
      </c>
      <c r="I84" s="2"/>
      <c r="J84" s="2"/>
      <c r="K84" t="s">
        <v>361</v>
      </c>
      <c r="L84" s="10" t="s">
        <v>362</v>
      </c>
      <c r="M84" s="2" t="str">
        <f t="shared" si="7"/>
        <v>EXECUTE [dbo].[PG_CI_ARCUSFIL_PROGRAM_MODEL]  0, 0, 32, 'MAZ', 'U377 MAZDA PREMIUM 2009'</v>
      </c>
    </row>
    <row r="85" spans="1:13" x14ac:dyDescent="0.2">
      <c r="A85" s="1">
        <v>17</v>
      </c>
      <c r="B85" s="1" t="s">
        <v>136</v>
      </c>
      <c r="D85" s="1" t="s">
        <v>325</v>
      </c>
      <c r="E85" s="1">
        <v>32</v>
      </c>
      <c r="F85" s="1" t="s">
        <v>161</v>
      </c>
      <c r="G85" t="s">
        <v>162</v>
      </c>
      <c r="I85" s="2"/>
      <c r="J85" s="2"/>
      <c r="K85" t="s">
        <v>361</v>
      </c>
      <c r="L85" s="10" t="s">
        <v>362</v>
      </c>
      <c r="M85" s="2" t="str">
        <f t="shared" si="7"/>
        <v>EXECUTE [dbo].[PG_CI_ARCUSFIL_PROGRAM_MODEL]  0, 0, 32, 'MP9', 'U377 MERCURY PREMIUM 2009'</v>
      </c>
    </row>
    <row r="86" spans="1:13" x14ac:dyDescent="0.2">
      <c r="A86" s="1">
        <v>17</v>
      </c>
      <c r="B86" s="1" t="s">
        <v>136</v>
      </c>
      <c r="D86" s="1" t="s">
        <v>325</v>
      </c>
      <c r="E86" s="1">
        <v>32</v>
      </c>
      <c r="F86" s="1" t="s">
        <v>159</v>
      </c>
      <c r="G86" t="s">
        <v>160</v>
      </c>
      <c r="I86" s="2"/>
      <c r="J86" s="2"/>
      <c r="K86" t="s">
        <v>361</v>
      </c>
      <c r="L86" s="10" t="s">
        <v>362</v>
      </c>
      <c r="M86" s="2" t="str">
        <f t="shared" si="7"/>
        <v>EXECUTE [dbo].[PG_CI_ARCUSFIL_PROGRAM_MODEL]  0, 0, 32, 'PL1', 'U377 FORD PREMIUM 11 PLM'</v>
      </c>
    </row>
    <row r="87" spans="1:13" x14ac:dyDescent="0.2">
      <c r="A87" s="1">
        <v>17</v>
      </c>
      <c r="B87" s="1" t="s">
        <v>136</v>
      </c>
      <c r="D87" s="1" t="s">
        <v>325</v>
      </c>
      <c r="E87" s="1">
        <v>32</v>
      </c>
      <c r="F87" s="1" t="s">
        <v>147</v>
      </c>
      <c r="G87" t="s">
        <v>148</v>
      </c>
      <c r="I87" s="2"/>
      <c r="J87" s="2"/>
      <c r="K87" t="s">
        <v>361</v>
      </c>
      <c r="L87" s="10" t="s">
        <v>362</v>
      </c>
      <c r="M87" s="2" t="str">
        <f t="shared" si="7"/>
        <v>EXECUTE [dbo].[PG_CI_ARCUSFIL_PROGRAM_MODEL]  0, 0, 32, 'U37', 'U377 MERCURY LTD 2008'</v>
      </c>
    </row>
    <row r="88" spans="1:13" x14ac:dyDescent="0.2">
      <c r="A88" s="1">
        <v>17</v>
      </c>
      <c r="B88" s="1" t="s">
        <v>136</v>
      </c>
      <c r="D88" s="1" t="s">
        <v>325</v>
      </c>
      <c r="E88" s="1">
        <v>32</v>
      </c>
      <c r="F88" s="1" t="s">
        <v>143</v>
      </c>
      <c r="G88" t="s">
        <v>144</v>
      </c>
      <c r="I88" s="2"/>
      <c r="J88" s="2"/>
      <c r="K88" t="s">
        <v>361</v>
      </c>
      <c r="L88" s="10" t="s">
        <v>362</v>
      </c>
      <c r="M88" s="2" t="str">
        <f t="shared" si="7"/>
        <v>EXECUTE [dbo].[PG_CI_ARCUSFIL_PROGRAM_MODEL]  0, 0, 32, 'U3M', 'U377 MERCURY PREMIUM 2008'</v>
      </c>
    </row>
    <row r="89" spans="1:13" x14ac:dyDescent="0.2">
      <c r="A89" s="1">
        <v>17</v>
      </c>
      <c r="B89" s="1" t="s">
        <v>136</v>
      </c>
      <c r="D89" s="1" t="s">
        <v>325</v>
      </c>
      <c r="E89" s="1">
        <v>32</v>
      </c>
      <c r="F89" s="1" t="s">
        <v>137</v>
      </c>
      <c r="G89" t="s">
        <v>138</v>
      </c>
      <c r="I89" s="2"/>
      <c r="J89" s="2"/>
      <c r="K89" t="s">
        <v>361</v>
      </c>
      <c r="L89" s="10" t="s">
        <v>362</v>
      </c>
      <c r="M89" s="2" t="str">
        <f t="shared" si="7"/>
        <v>EXECUTE [dbo].[PG_CI_ARCUSFIL_PROGRAM_MODEL]  0, 0, 32, 'U77', 'U377 FORD MONO TONE'</v>
      </c>
    </row>
    <row r="90" spans="1:13" x14ac:dyDescent="0.2">
      <c r="A90" s="1">
        <v>17</v>
      </c>
      <c r="B90" s="1" t="s">
        <v>136</v>
      </c>
      <c r="D90" s="1" t="s">
        <v>325</v>
      </c>
      <c r="E90" s="1">
        <v>32</v>
      </c>
      <c r="F90" s="1" t="s">
        <v>134</v>
      </c>
      <c r="G90" t="s">
        <v>135</v>
      </c>
      <c r="I90" s="2"/>
      <c r="J90" s="2"/>
      <c r="K90" t="s">
        <v>361</v>
      </c>
      <c r="L90" s="10" t="s">
        <v>362</v>
      </c>
      <c r="M90" s="2" t="str">
        <f t="shared" si="7"/>
        <v>EXECUTE [dbo].[PG_CI_ARCUSFIL_PROGRAM_MODEL]  0, 0, 32, 'UMA', 'U377 MAZDA PREMIUM 2008'</v>
      </c>
    </row>
    <row r="91" spans="1:13" x14ac:dyDescent="0.2">
      <c r="A91" s="1">
        <v>17</v>
      </c>
      <c r="B91" s="1" t="s">
        <v>136</v>
      </c>
      <c r="C91" s="1" t="s">
        <v>354</v>
      </c>
      <c r="D91" s="1" t="s">
        <v>344</v>
      </c>
      <c r="E91" s="1">
        <v>33</v>
      </c>
      <c r="F91" s="1" t="s">
        <v>139</v>
      </c>
      <c r="G91" t="s">
        <v>140</v>
      </c>
      <c r="I91" s="2" t="s">
        <v>323</v>
      </c>
      <c r="J91" s="2" t="str">
        <f t="shared" ref="J91:J93" si="8">_xlfn.CONCAT(I91,A91,", '",TRIM(D91),"'")</f>
        <v>EXECUTE [dbo].[PG_CI_ARCUSFIL_PROGRAM]  0, 0, 17, 'U553'</v>
      </c>
      <c r="K91" t="s">
        <v>361</v>
      </c>
      <c r="L91" s="10" t="s">
        <v>362</v>
      </c>
      <c r="M91" s="2" t="str">
        <f t="shared" si="7"/>
        <v>EXECUTE [dbo].[PG_CI_ARCUSFIL_PROGRAM_MODEL]  0, 0, 33, 'U55', '2019 U553 EXPEDITION'</v>
      </c>
    </row>
    <row r="92" spans="1:13" x14ac:dyDescent="0.2">
      <c r="A92" s="1">
        <v>17</v>
      </c>
      <c r="B92" s="1" t="s">
        <v>136</v>
      </c>
      <c r="C92" s="1" t="s">
        <v>354</v>
      </c>
      <c r="D92" s="1" t="s">
        <v>342</v>
      </c>
      <c r="E92" s="1">
        <v>34</v>
      </c>
      <c r="F92" s="1" t="s">
        <v>157</v>
      </c>
      <c r="G92" t="s">
        <v>158</v>
      </c>
      <c r="I92" s="2" t="s">
        <v>323</v>
      </c>
      <c r="J92" s="2" t="str">
        <f t="shared" si="8"/>
        <v>EXECUTE [dbo].[PG_CI_ARCUSFIL_PROGRAM]  0, 0, 17, 'VN127'</v>
      </c>
      <c r="K92" t="s">
        <v>361</v>
      </c>
      <c r="L92" s="10" t="s">
        <v>362</v>
      </c>
      <c r="M92" s="2" t="str">
        <f t="shared" si="7"/>
        <v>EXECUTE [dbo].[PG_CI_ARCUSFIL_PROGRAM_MODEL]  0, 0, 34, 'PLA', 'VN-127 FORD ECONOLINE'</v>
      </c>
    </row>
    <row r="93" spans="1:13" x14ac:dyDescent="0.2">
      <c r="A93" s="1">
        <v>18</v>
      </c>
      <c r="B93" s="1" t="s">
        <v>105</v>
      </c>
      <c r="C93" s="1" t="s">
        <v>354</v>
      </c>
      <c r="D93" s="1" t="s">
        <v>324</v>
      </c>
      <c r="E93" s="1">
        <v>35</v>
      </c>
      <c r="F93" s="1" t="s">
        <v>132</v>
      </c>
      <c r="G93" t="s">
        <v>133</v>
      </c>
      <c r="I93" s="2" t="s">
        <v>323</v>
      </c>
      <c r="J93" s="2" t="str">
        <f t="shared" si="8"/>
        <v>EXECUTE [dbo].[PG_CI_ARCUSFIL_PROGRAM]  0, 0, 18, 'WL'</v>
      </c>
      <c r="K93" t="s">
        <v>361</v>
      </c>
      <c r="L93" s="10" t="s">
        <v>362</v>
      </c>
      <c r="M93" s="2" t="str">
        <f t="shared" si="7"/>
        <v>EXECUTE [dbo].[PG_CI_ARCUSFIL_PROGRAM_MODEL]  0, 0, 35, 'W7A', '2021 WL 74 AL'</v>
      </c>
    </row>
    <row r="94" spans="1:13" x14ac:dyDescent="0.2">
      <c r="A94" s="1">
        <v>18</v>
      </c>
      <c r="B94" s="1" t="s">
        <v>105</v>
      </c>
      <c r="D94" s="1" t="s">
        <v>324</v>
      </c>
      <c r="E94" s="1">
        <v>35</v>
      </c>
      <c r="F94" s="1" t="s">
        <v>130</v>
      </c>
      <c r="G94" t="s">
        <v>131</v>
      </c>
      <c r="I94" s="2"/>
      <c r="J94" s="2"/>
      <c r="K94" t="s">
        <v>361</v>
      </c>
      <c r="L94" s="10" t="s">
        <v>362</v>
      </c>
      <c r="M94" s="2" t="str">
        <f t="shared" si="7"/>
        <v>EXECUTE [dbo].[PG_CI_ARCUSFIL_PROGRAM_MODEL]  0, 0, 35, 'W7B', '2021 WL 74 BL'</v>
      </c>
    </row>
    <row r="95" spans="1:13" x14ac:dyDescent="0.2">
      <c r="A95" s="1">
        <v>18</v>
      </c>
      <c r="B95" s="1" t="s">
        <v>105</v>
      </c>
      <c r="D95" s="1" t="s">
        <v>324</v>
      </c>
      <c r="E95" s="1">
        <v>35</v>
      </c>
      <c r="F95" s="1" t="s">
        <v>128</v>
      </c>
      <c r="G95" t="s">
        <v>129</v>
      </c>
      <c r="I95" s="2"/>
      <c r="J95" s="2"/>
      <c r="K95" t="s">
        <v>361</v>
      </c>
      <c r="L95" s="10" t="s">
        <v>362</v>
      </c>
      <c r="M95" s="2" t="str">
        <f t="shared" si="7"/>
        <v>EXECUTE [dbo].[PG_CI_ARCUSFIL_PROGRAM_MODEL]  0, 0, 35, 'W7C', '2021 WL 74 CL 8W'</v>
      </c>
    </row>
    <row r="96" spans="1:13" x14ac:dyDescent="0.2">
      <c r="A96" s="1">
        <v>18</v>
      </c>
      <c r="B96" s="1" t="s">
        <v>105</v>
      </c>
      <c r="D96" s="1" t="s">
        <v>324</v>
      </c>
      <c r="E96" s="1">
        <v>35</v>
      </c>
      <c r="F96" s="1" t="s">
        <v>126</v>
      </c>
      <c r="G96" t="s">
        <v>127</v>
      </c>
      <c r="I96" s="2"/>
      <c r="J96" s="2"/>
      <c r="K96" t="s">
        <v>361</v>
      </c>
      <c r="L96" s="10" t="s">
        <v>362</v>
      </c>
      <c r="M96" s="2" t="str">
        <f t="shared" si="7"/>
        <v>EXECUTE [dbo].[PG_CI_ARCUSFIL_PROGRAM_MODEL]  0, 0, 35, 'W7D', '2021 WL 74 DL'</v>
      </c>
    </row>
    <row r="97" spans="1:13" x14ac:dyDescent="0.2">
      <c r="A97" s="1">
        <v>18</v>
      </c>
      <c r="B97" s="1" t="s">
        <v>105</v>
      </c>
      <c r="D97" s="1" t="s">
        <v>324</v>
      </c>
      <c r="E97" s="1">
        <v>35</v>
      </c>
      <c r="F97" s="1" t="s">
        <v>124</v>
      </c>
      <c r="G97" t="s">
        <v>125</v>
      </c>
      <c r="I97" s="2"/>
      <c r="J97" s="2"/>
      <c r="K97" t="s">
        <v>361</v>
      </c>
      <c r="L97" s="10" t="s">
        <v>362</v>
      </c>
      <c r="M97" s="2" t="str">
        <f t="shared" si="7"/>
        <v>EXECUTE [dbo].[PG_CI_ARCUSFIL_PROGRAM_MODEL]  0, 0, 35, 'W7E', '2021 WL 74 EC'</v>
      </c>
    </row>
    <row r="98" spans="1:13" x14ac:dyDescent="0.2">
      <c r="A98" s="1">
        <v>18</v>
      </c>
      <c r="B98" s="1" t="s">
        <v>105</v>
      </c>
      <c r="D98" s="1" t="s">
        <v>324</v>
      </c>
      <c r="E98" s="1">
        <v>35</v>
      </c>
      <c r="F98" s="1" t="s">
        <v>122</v>
      </c>
      <c r="G98" t="s">
        <v>123</v>
      </c>
      <c r="I98" s="2"/>
      <c r="J98" s="2"/>
      <c r="K98" t="s">
        <v>361</v>
      </c>
      <c r="L98" s="10" t="s">
        <v>362</v>
      </c>
      <c r="M98" s="2" t="str">
        <f t="shared" si="7"/>
        <v>EXECUTE [dbo].[PG_CI_ARCUSFIL_PROGRAM_MODEL]  0, 0, 35, 'W7S', '2021 WL 74 SL'</v>
      </c>
    </row>
    <row r="99" spans="1:13" x14ac:dyDescent="0.2">
      <c r="A99" s="1">
        <v>18</v>
      </c>
      <c r="B99" s="1" t="s">
        <v>105</v>
      </c>
      <c r="D99" s="1" t="s">
        <v>324</v>
      </c>
      <c r="E99" s="1">
        <v>35</v>
      </c>
      <c r="F99" s="1" t="s">
        <v>120</v>
      </c>
      <c r="G99" t="s">
        <v>121</v>
      </c>
      <c r="I99" s="2"/>
      <c r="J99" s="2"/>
      <c r="K99" t="s">
        <v>361</v>
      </c>
      <c r="L99" s="10" t="s">
        <v>362</v>
      </c>
      <c r="M99" s="2" t="str">
        <f t="shared" si="7"/>
        <v>EXECUTE [dbo].[PG_CI_ARCUSFIL_PROGRAM_MODEL]  0, 0, 35, 'W7T', '2021 WL 74 TL'</v>
      </c>
    </row>
    <row r="100" spans="1:13" x14ac:dyDescent="0.2">
      <c r="A100" s="1">
        <v>18</v>
      </c>
      <c r="B100" s="1" t="s">
        <v>105</v>
      </c>
      <c r="D100" s="1" t="s">
        <v>324</v>
      </c>
      <c r="E100" s="1">
        <v>35</v>
      </c>
      <c r="F100" s="1" t="s">
        <v>118</v>
      </c>
      <c r="G100" t="s">
        <v>119</v>
      </c>
      <c r="I100" s="2"/>
      <c r="J100" s="2"/>
      <c r="K100" t="s">
        <v>361</v>
      </c>
      <c r="L100" s="10" t="s">
        <v>362</v>
      </c>
      <c r="M100" s="2" t="str">
        <f t="shared" si="7"/>
        <v>EXECUTE [dbo].[PG_CI_ARCUSFIL_PROGRAM_MODEL]  0, 0, 35, 'WAL', '2021 WL 75 AL 8W LIMITED'</v>
      </c>
    </row>
    <row r="101" spans="1:13" x14ac:dyDescent="0.2">
      <c r="A101" s="1">
        <v>18</v>
      </c>
      <c r="B101" s="1" t="s">
        <v>105</v>
      </c>
      <c r="D101" s="1" t="s">
        <v>324</v>
      </c>
      <c r="E101" s="1">
        <v>35</v>
      </c>
      <c r="F101" s="1" t="s">
        <v>116</v>
      </c>
      <c r="G101" t="s">
        <v>117</v>
      </c>
      <c r="I101" s="2"/>
      <c r="J101" s="2"/>
      <c r="K101" t="s">
        <v>361</v>
      </c>
      <c r="L101" s="10" t="s">
        <v>362</v>
      </c>
      <c r="M101" s="2" t="str">
        <f t="shared" si="7"/>
        <v>EXECUTE [dbo].[PG_CI_ARCUSFIL_PROGRAM_MODEL]  0, 0, 35, 'WC1', '2021 WL 75 CL 12 WAY'</v>
      </c>
    </row>
    <row r="102" spans="1:13" x14ac:dyDescent="0.2">
      <c r="A102" s="1">
        <v>18</v>
      </c>
      <c r="B102" s="1" t="s">
        <v>105</v>
      </c>
      <c r="D102" s="1" t="s">
        <v>324</v>
      </c>
      <c r="E102" s="1">
        <v>35</v>
      </c>
      <c r="F102" s="1" t="s">
        <v>114</v>
      </c>
      <c r="G102" t="s">
        <v>115</v>
      </c>
      <c r="I102" s="2"/>
      <c r="J102" s="2"/>
      <c r="K102" t="s">
        <v>361</v>
      </c>
      <c r="L102" s="10" t="s">
        <v>362</v>
      </c>
      <c r="M102" s="2" t="str">
        <f t="shared" si="7"/>
        <v>EXECUTE [dbo].[PG_CI_ARCUSFIL_PROGRAM_MODEL]  0, 0, 35, 'WCL', '2021 WL 75 CL 8 WAY'</v>
      </c>
    </row>
    <row r="103" spans="1:13" x14ac:dyDescent="0.2">
      <c r="A103" s="1">
        <v>18</v>
      </c>
      <c r="B103" s="1" t="s">
        <v>105</v>
      </c>
      <c r="D103" s="1" t="s">
        <v>324</v>
      </c>
      <c r="E103" s="1">
        <v>35</v>
      </c>
      <c r="F103" s="1" t="s">
        <v>112</v>
      </c>
      <c r="G103" t="s">
        <v>113</v>
      </c>
      <c r="I103" s="2"/>
      <c r="J103" s="2"/>
      <c r="K103" t="s">
        <v>361</v>
      </c>
      <c r="L103" s="10" t="s">
        <v>362</v>
      </c>
      <c r="M103" s="2" t="str">
        <f t="shared" si="7"/>
        <v>EXECUTE [dbo].[PG_CI_ARCUSFIL_PROGRAM_MODEL]  0, 0, 35, 'WDL', '2021 WL 75 DL LIMITED'</v>
      </c>
    </row>
    <row r="104" spans="1:13" x14ac:dyDescent="0.2">
      <c r="A104" s="1">
        <v>18</v>
      </c>
      <c r="B104" s="1" t="s">
        <v>105</v>
      </c>
      <c r="D104" s="1" t="s">
        <v>324</v>
      </c>
      <c r="E104" s="1">
        <v>35</v>
      </c>
      <c r="F104" s="1" t="s">
        <v>110</v>
      </c>
      <c r="G104" t="s">
        <v>111</v>
      </c>
      <c r="I104" s="2"/>
      <c r="J104" s="2"/>
      <c r="K104" t="s">
        <v>361</v>
      </c>
      <c r="L104" s="10" t="s">
        <v>362</v>
      </c>
      <c r="M104" s="2" t="str">
        <f t="shared" si="7"/>
        <v>EXECUTE [dbo].[PG_CI_ARCUSFIL_PROGRAM_MODEL]  0, 0, 35, 'WEC', '2021 WL 75 EC SUMMIT'</v>
      </c>
    </row>
    <row r="105" spans="1:13" x14ac:dyDescent="0.2">
      <c r="A105" s="1">
        <v>18</v>
      </c>
      <c r="B105" s="1" t="s">
        <v>105</v>
      </c>
      <c r="D105" s="1" t="s">
        <v>324</v>
      </c>
      <c r="E105" s="1">
        <v>35</v>
      </c>
      <c r="F105" s="1" t="s">
        <v>108</v>
      </c>
      <c r="G105" t="s">
        <v>109</v>
      </c>
      <c r="I105" s="2"/>
      <c r="J105" s="2"/>
      <c r="K105" t="s">
        <v>361</v>
      </c>
      <c r="L105" s="10" t="s">
        <v>362</v>
      </c>
      <c r="M105" s="2" t="str">
        <f t="shared" si="7"/>
        <v>EXECUTE [dbo].[PG_CI_ARCUSFIL_PROGRAM_MODEL]  0, 0, 35, 'WLB', '2021 WL 75 BL OVERLAND'</v>
      </c>
    </row>
    <row r="106" spans="1:13" x14ac:dyDescent="0.2">
      <c r="A106" s="1">
        <v>18</v>
      </c>
      <c r="B106" s="1" t="s">
        <v>105</v>
      </c>
      <c r="D106" s="1" t="s">
        <v>324</v>
      </c>
      <c r="E106" s="1">
        <v>35</v>
      </c>
      <c r="F106" s="1" t="s">
        <v>106</v>
      </c>
      <c r="G106" t="s">
        <v>107</v>
      </c>
      <c r="I106" s="2"/>
      <c r="J106" s="2"/>
      <c r="K106" t="s">
        <v>361</v>
      </c>
      <c r="L106" s="10" t="s">
        <v>362</v>
      </c>
      <c r="M106" s="2" t="str">
        <f t="shared" si="7"/>
        <v>EXECUTE [dbo].[PG_CI_ARCUSFIL_PROGRAM_MODEL]  0, 0, 35, 'WLK', '2021 WL KL 8W BASE SRT'</v>
      </c>
    </row>
    <row r="107" spans="1:13" x14ac:dyDescent="0.2">
      <c r="A107" s="1">
        <v>18</v>
      </c>
      <c r="B107" s="1" t="s">
        <v>105</v>
      </c>
      <c r="D107" s="1" t="s">
        <v>324</v>
      </c>
      <c r="E107" s="1">
        <v>35</v>
      </c>
      <c r="F107" s="1" t="s">
        <v>103</v>
      </c>
      <c r="G107" t="s">
        <v>104</v>
      </c>
      <c r="I107" s="2"/>
      <c r="J107" s="2"/>
      <c r="K107" t="s">
        <v>361</v>
      </c>
      <c r="L107" s="10" t="s">
        <v>362</v>
      </c>
      <c r="M107" s="2" t="str">
        <f t="shared" si="7"/>
        <v>EXECUTE [dbo].[PG_CI_ARCUSFIL_PROGRAM_MODEL]  0, 0, 35, 'WTL', '2021 WL 75 TL 12 WAY'</v>
      </c>
    </row>
    <row r="108" spans="1:13" x14ac:dyDescent="0.2">
      <c r="A108" s="1">
        <v>19</v>
      </c>
      <c r="B108" s="1" t="s">
        <v>24</v>
      </c>
      <c r="C108" s="1" t="s">
        <v>354</v>
      </c>
      <c r="D108" s="1" t="s">
        <v>345</v>
      </c>
      <c r="E108" s="1">
        <v>36</v>
      </c>
      <c r="F108" s="1" t="s">
        <v>88</v>
      </c>
      <c r="G108" t="s">
        <v>89</v>
      </c>
      <c r="I108" s="2" t="s">
        <v>323</v>
      </c>
      <c r="J108" s="2" t="str">
        <f>_xlfn.CONCAT(I108,A108,", '",TRIM(D108),"'")</f>
        <v>EXECUTE [dbo].[PG_CI_ARCUSFIL_PROGRAM]  0, 0, 19, 'D471'</v>
      </c>
      <c r="K108" t="s">
        <v>361</v>
      </c>
      <c r="L108" s="10" t="s">
        <v>362</v>
      </c>
      <c r="M108" s="2" t="str">
        <f t="shared" si="7"/>
        <v>EXECUTE [dbo].[PG_CI_ARCUSFIL_PROGRAM_MODEL]  0, 0, 36, 'PL4', 'D471 SEL 2012'</v>
      </c>
    </row>
    <row r="109" spans="1:13" x14ac:dyDescent="0.2">
      <c r="A109" s="1">
        <v>19</v>
      </c>
      <c r="B109" s="1" t="s">
        <v>24</v>
      </c>
      <c r="D109" s="1" t="s">
        <v>345</v>
      </c>
      <c r="E109" s="1">
        <v>36</v>
      </c>
      <c r="F109" s="1" t="s">
        <v>86</v>
      </c>
      <c r="G109" t="s">
        <v>87</v>
      </c>
      <c r="I109" s="2"/>
      <c r="J109" s="2"/>
      <c r="K109" t="s">
        <v>361</v>
      </c>
      <c r="L109" s="10" t="s">
        <v>362</v>
      </c>
      <c r="M109" s="2" t="str">
        <f t="shared" si="7"/>
        <v>EXECUTE [dbo].[PG_CI_ARCUSFIL_PROGRAM_MODEL]  0, 0, 36, 'PL5', 'D471 LTD 2012'</v>
      </c>
    </row>
    <row r="110" spans="1:13" x14ac:dyDescent="0.2">
      <c r="A110" s="1">
        <v>19</v>
      </c>
      <c r="B110" s="1" t="s">
        <v>24</v>
      </c>
      <c r="D110" s="1" t="s">
        <v>345</v>
      </c>
      <c r="E110" s="1">
        <v>36</v>
      </c>
      <c r="F110" s="1" t="s">
        <v>73</v>
      </c>
      <c r="G110" t="s">
        <v>74</v>
      </c>
      <c r="I110" s="2"/>
      <c r="J110" s="2"/>
      <c r="K110" t="s">
        <v>361</v>
      </c>
      <c r="L110" s="10" t="s">
        <v>362</v>
      </c>
      <c r="M110" s="2" t="str">
        <f t="shared" si="7"/>
        <v>EXECUTE [dbo].[PG_CI_ARCUSFIL_PROGRAM_MODEL]  0, 0, 36, 'PLC', 'D471 LTD PLATINIUM'</v>
      </c>
    </row>
    <row r="111" spans="1:13" x14ac:dyDescent="0.2">
      <c r="A111" s="1">
        <v>19</v>
      </c>
      <c r="B111" s="1" t="s">
        <v>24</v>
      </c>
      <c r="D111" s="1" t="s">
        <v>345</v>
      </c>
      <c r="E111" s="1">
        <v>36</v>
      </c>
      <c r="F111" s="1" t="s">
        <v>71</v>
      </c>
      <c r="G111" t="s">
        <v>72</v>
      </c>
      <c r="I111" s="2"/>
      <c r="J111" s="2"/>
      <c r="K111" t="s">
        <v>361</v>
      </c>
      <c r="L111" s="10" t="s">
        <v>362</v>
      </c>
      <c r="M111" s="2" t="str">
        <f t="shared" si="7"/>
        <v>EXECUTE [dbo].[PG_CI_ARCUSFIL_PROGRAM_MODEL]  0, 0, 36, 'PLD', 'D471 SEL 2013'</v>
      </c>
    </row>
    <row r="112" spans="1:13" x14ac:dyDescent="0.2">
      <c r="A112" s="1">
        <v>19</v>
      </c>
      <c r="B112" s="1" t="s">
        <v>24</v>
      </c>
      <c r="D112" s="1" t="s">
        <v>345</v>
      </c>
      <c r="E112" s="1">
        <v>36</v>
      </c>
      <c r="F112" s="1" t="s">
        <v>69</v>
      </c>
      <c r="G112" t="s">
        <v>70</v>
      </c>
      <c r="I112" s="2"/>
      <c r="J112" s="2"/>
      <c r="K112" t="s">
        <v>361</v>
      </c>
      <c r="L112" s="10" t="s">
        <v>362</v>
      </c>
      <c r="M112" s="2" t="str">
        <f t="shared" si="7"/>
        <v>EXECUTE [dbo].[PG_CI_ARCUSFIL_PROGRAM_MODEL]  0, 0, 36, 'PLE', 'D471 LTD 2013'</v>
      </c>
    </row>
    <row r="113" spans="1:13" x14ac:dyDescent="0.2">
      <c r="A113" s="1">
        <v>19</v>
      </c>
      <c r="B113" s="1" t="s">
        <v>24</v>
      </c>
      <c r="D113" s="1" t="s">
        <v>345</v>
      </c>
      <c r="E113" s="1">
        <v>36</v>
      </c>
      <c r="F113" s="1" t="s">
        <v>67</v>
      </c>
      <c r="G113" t="s">
        <v>68</v>
      </c>
      <c r="I113" s="2"/>
      <c r="J113" s="2"/>
      <c r="K113" t="s">
        <v>361</v>
      </c>
      <c r="L113" s="10" t="s">
        <v>362</v>
      </c>
      <c r="M113" s="2" t="str">
        <f t="shared" si="7"/>
        <v>EXECUTE [dbo].[PG_CI_ARCUSFIL_PROGRAM_MODEL]  0, 0, 36, 'PLS', 'D471 2016 SALERNO'</v>
      </c>
    </row>
    <row r="114" spans="1:13" x14ac:dyDescent="0.2">
      <c r="A114" s="1">
        <v>19</v>
      </c>
      <c r="B114" s="1" t="s">
        <v>24</v>
      </c>
      <c r="C114" s="1" t="s">
        <v>354</v>
      </c>
      <c r="D114" s="1" t="s">
        <v>330</v>
      </c>
      <c r="E114" s="1">
        <v>37</v>
      </c>
      <c r="F114" s="1" t="s">
        <v>100</v>
      </c>
      <c r="G114" t="s">
        <v>101</v>
      </c>
      <c r="I114" s="2" t="s">
        <v>323</v>
      </c>
      <c r="J114" s="2" t="str">
        <f t="shared" ref="J114:J115" si="9">_xlfn.CONCAT(I114,A114,", '",TRIM(D114),"'")</f>
        <v>EXECUTE [dbo].[PG_CI_ARCUSFIL_PROGRAM]  0, 0, 19, 'GMT'</v>
      </c>
      <c r="K114" t="s">
        <v>361</v>
      </c>
      <c r="L114" s="10" t="s">
        <v>362</v>
      </c>
      <c r="M114" s="2" t="str">
        <f t="shared" si="7"/>
        <v>EXECUTE [dbo].[PG_CI_ARCUSFIL_PROGRAM_MODEL]  0, 0, 37, '3SU', 'GMT 315 SUV'</v>
      </c>
    </row>
    <row r="115" spans="1:13" x14ac:dyDescent="0.2">
      <c r="A115" s="1">
        <v>19</v>
      </c>
      <c r="B115" s="1" t="s">
        <v>24</v>
      </c>
      <c r="C115" s="1" t="s">
        <v>354</v>
      </c>
      <c r="D115" s="1" t="s">
        <v>346</v>
      </c>
      <c r="E115" s="1">
        <v>38</v>
      </c>
      <c r="F115" s="1" t="s">
        <v>63</v>
      </c>
      <c r="G115" t="s">
        <v>64</v>
      </c>
      <c r="I115" s="2" t="s">
        <v>323</v>
      </c>
      <c r="J115" s="2" t="str">
        <f t="shared" si="9"/>
        <v>EXECUTE [dbo].[PG_CI_ARCUSFIL_PROGRAM]  0, 0, 19, 'RU'</v>
      </c>
      <c r="K115" t="s">
        <v>361</v>
      </c>
      <c r="L115" s="10" t="s">
        <v>362</v>
      </c>
      <c r="M115" s="2" t="str">
        <f t="shared" si="7"/>
        <v>EXECUTE [dbo].[PG_CI_ARCUSFIL_PROGRAM_MODEL]  0, 0, 38, 'RDL', '2021 RU DL PINNACLE'</v>
      </c>
    </row>
    <row r="116" spans="1:13" x14ac:dyDescent="0.2">
      <c r="A116" s="1">
        <v>19</v>
      </c>
      <c r="B116" s="1" t="s">
        <v>24</v>
      </c>
      <c r="D116" s="1" t="s">
        <v>346</v>
      </c>
      <c r="E116" s="1">
        <v>38</v>
      </c>
      <c r="F116" s="1" t="s">
        <v>61</v>
      </c>
      <c r="G116" t="s">
        <v>62</v>
      </c>
      <c r="I116" s="2"/>
      <c r="J116" s="2"/>
      <c r="K116" t="s">
        <v>361</v>
      </c>
      <c r="L116" s="10" t="s">
        <v>362</v>
      </c>
      <c r="M116" s="2" t="str">
        <f t="shared" si="7"/>
        <v>EXECUTE [dbo].[PG_CI_ARCUSFIL_PROGRAM_MODEL]  0, 0, 38, 'RUA', '2016 RU OPCION AL'</v>
      </c>
    </row>
    <row r="117" spans="1:13" x14ac:dyDescent="0.2">
      <c r="A117" s="1">
        <v>19</v>
      </c>
      <c r="B117" s="1" t="s">
        <v>24</v>
      </c>
      <c r="D117" s="1" t="s">
        <v>346</v>
      </c>
      <c r="E117" s="1">
        <v>38</v>
      </c>
      <c r="F117" s="1" t="s">
        <v>59</v>
      </c>
      <c r="G117" t="s">
        <v>60</v>
      </c>
      <c r="I117" s="2"/>
      <c r="J117" s="2"/>
      <c r="K117" t="s">
        <v>361</v>
      </c>
      <c r="L117" s="10" t="s">
        <v>362</v>
      </c>
      <c r="M117" s="2" t="str">
        <f t="shared" si="7"/>
        <v>EXECUTE [dbo].[PG_CI_ARCUSFIL_PROGRAM_MODEL]  0, 0, 38, 'RUE', '2016 RU OPCION EL'</v>
      </c>
    </row>
    <row r="118" spans="1:13" x14ac:dyDescent="0.2">
      <c r="A118" s="1">
        <v>19</v>
      </c>
      <c r="B118" s="1" t="s">
        <v>24</v>
      </c>
      <c r="D118" s="1" t="s">
        <v>346</v>
      </c>
      <c r="E118" s="1">
        <v>38</v>
      </c>
      <c r="F118" s="1" t="s">
        <v>57</v>
      </c>
      <c r="G118" t="s">
        <v>58</v>
      </c>
      <c r="I118" s="2"/>
      <c r="J118" s="2"/>
      <c r="K118" t="s">
        <v>361</v>
      </c>
      <c r="L118" s="10" t="s">
        <v>362</v>
      </c>
      <c r="M118" s="2" t="str">
        <f t="shared" si="7"/>
        <v>EXECUTE [dbo].[PG_CI_ARCUSFIL_PROGRAM_MODEL]  0, 0, 38, 'RUM', '2016 RU OPCION ML'</v>
      </c>
    </row>
    <row r="119" spans="1:13" x14ac:dyDescent="0.2">
      <c r="A119" s="1">
        <v>19</v>
      </c>
      <c r="B119" s="1" t="s">
        <v>24</v>
      </c>
      <c r="C119" s="1" t="s">
        <v>354</v>
      </c>
      <c r="D119" s="1" t="s">
        <v>331</v>
      </c>
      <c r="E119" s="1">
        <v>39</v>
      </c>
      <c r="F119" s="1">
        <v>387</v>
      </c>
      <c r="G119" t="s">
        <v>102</v>
      </c>
      <c r="I119" s="2" t="s">
        <v>323</v>
      </c>
      <c r="J119" s="2" t="str">
        <f>_xlfn.CONCAT(I119,A119,", '",TRIM(D119),"'")</f>
        <v>EXECUTE [dbo].[PG_CI_ARCUSFIL_PROGRAM]  0, 0, 19, 'U387'</v>
      </c>
      <c r="K119" t="s">
        <v>361</v>
      </c>
      <c r="L119" s="10" t="s">
        <v>362</v>
      </c>
      <c r="M119" s="2" t="str">
        <f t="shared" si="7"/>
        <v>EXECUTE [dbo].[PG_CI_ARCUSFIL_PROGRAM_MODEL]  0, 0, 39, '387', 'U387 FORD PREMIUM'</v>
      </c>
    </row>
    <row r="120" spans="1:13" x14ac:dyDescent="0.2">
      <c r="A120" s="1">
        <v>19</v>
      </c>
      <c r="B120" s="1" t="s">
        <v>24</v>
      </c>
      <c r="D120" s="1" t="s">
        <v>331</v>
      </c>
      <c r="E120" s="1">
        <v>39</v>
      </c>
      <c r="F120" s="1" t="s">
        <v>98</v>
      </c>
      <c r="G120" t="s">
        <v>99</v>
      </c>
      <c r="I120" s="2"/>
      <c r="J120" s="2"/>
      <c r="K120" t="s">
        <v>361</v>
      </c>
      <c r="L120" s="10" t="s">
        <v>362</v>
      </c>
      <c r="M120" s="2" t="str">
        <f t="shared" si="7"/>
        <v>EXECUTE [dbo].[PG_CI_ARCUSFIL_PROGRAM_MODEL]  0, 0, 39, 'FCE', 'U387 FORD CUTTING EDGE'</v>
      </c>
    </row>
    <row r="121" spans="1:13" x14ac:dyDescent="0.2">
      <c r="A121" s="1">
        <v>19</v>
      </c>
      <c r="B121" s="1" t="s">
        <v>24</v>
      </c>
      <c r="D121" s="1" t="s">
        <v>331</v>
      </c>
      <c r="E121" s="1">
        <v>39</v>
      </c>
      <c r="F121" s="1" t="s">
        <v>96</v>
      </c>
      <c r="G121" t="s">
        <v>97</v>
      </c>
      <c r="I121" s="2"/>
      <c r="J121" s="2"/>
      <c r="K121" t="s">
        <v>361</v>
      </c>
      <c r="L121" s="10" t="s">
        <v>362</v>
      </c>
      <c r="M121" s="2" t="str">
        <f t="shared" si="7"/>
        <v>EXECUTE [dbo].[PG_CI_ARCUSFIL_PROGRAM_MODEL]  0, 0, 39, 'GRE', 'U387 FORD GREY'</v>
      </c>
    </row>
    <row r="122" spans="1:13" x14ac:dyDescent="0.2">
      <c r="A122" s="1">
        <v>19</v>
      </c>
      <c r="B122" s="1" t="s">
        <v>24</v>
      </c>
      <c r="D122" s="1" t="s">
        <v>331</v>
      </c>
      <c r="E122" s="1">
        <v>39</v>
      </c>
      <c r="F122" s="1" t="s">
        <v>92</v>
      </c>
      <c r="G122" t="s">
        <v>93</v>
      </c>
      <c r="I122" s="2"/>
      <c r="J122" s="2"/>
      <c r="K122" t="s">
        <v>361</v>
      </c>
      <c r="L122" s="10" t="s">
        <v>362</v>
      </c>
      <c r="M122" s="2" t="str">
        <f t="shared" si="7"/>
        <v>EXECUTE [dbo].[PG_CI_ARCUSFIL_PROGRAM_MODEL]  0, 0, 39, 'PL2', 'U387 FORD SEL 2011 PLM'</v>
      </c>
    </row>
    <row r="123" spans="1:13" x14ac:dyDescent="0.2">
      <c r="A123" s="1">
        <v>19</v>
      </c>
      <c r="B123" s="1" t="s">
        <v>24</v>
      </c>
      <c r="D123" s="1" t="s">
        <v>331</v>
      </c>
      <c r="E123" s="1">
        <v>39</v>
      </c>
      <c r="F123" s="1" t="s">
        <v>81</v>
      </c>
      <c r="G123" t="s">
        <v>83</v>
      </c>
      <c r="I123" s="2"/>
      <c r="J123" s="2"/>
      <c r="K123" t="s">
        <v>361</v>
      </c>
      <c r="L123" s="10" t="s">
        <v>362</v>
      </c>
      <c r="M123" s="2" t="str">
        <f t="shared" si="7"/>
        <v>EXECUTE [dbo].[PG_CI_ARCUSFIL_PROGRAM_MODEL]  0, 0, 39, 'PL7', 'U387 FORD SEL 2012'</v>
      </c>
    </row>
    <row r="124" spans="1:13" x14ac:dyDescent="0.2">
      <c r="A124" s="1">
        <v>19</v>
      </c>
      <c r="B124" s="1" t="s">
        <v>24</v>
      </c>
      <c r="D124" s="1" t="s">
        <v>331</v>
      </c>
      <c r="E124" s="1">
        <v>39</v>
      </c>
      <c r="F124" s="1" t="s">
        <v>79</v>
      </c>
      <c r="G124" t="s">
        <v>80</v>
      </c>
      <c r="I124" s="2"/>
      <c r="J124" s="2"/>
      <c r="K124" t="s">
        <v>361</v>
      </c>
      <c r="L124" s="10" t="s">
        <v>362</v>
      </c>
      <c r="M124" s="2" t="str">
        <f t="shared" si="7"/>
        <v>EXECUTE [dbo].[PG_CI_ARCUSFIL_PROGRAM_MODEL]  0, 0, 39, 'PL8', 'U387 FORD SPORT 2012'</v>
      </c>
    </row>
    <row r="125" spans="1:13" x14ac:dyDescent="0.2">
      <c r="A125" s="1">
        <v>19</v>
      </c>
      <c r="B125" s="1" t="s">
        <v>24</v>
      </c>
      <c r="D125" s="1" t="s">
        <v>331</v>
      </c>
      <c r="E125" s="1">
        <v>39</v>
      </c>
      <c r="F125" s="1" t="s">
        <v>77</v>
      </c>
      <c r="G125" t="s">
        <v>78</v>
      </c>
      <c r="I125" s="2"/>
      <c r="J125" s="2"/>
      <c r="K125" t="s">
        <v>361</v>
      </c>
      <c r="L125" s="10" t="s">
        <v>362</v>
      </c>
      <c r="M125" s="2" t="str">
        <f t="shared" si="7"/>
        <v>EXECUTE [dbo].[PG_CI_ARCUSFIL_PROGRAM_MODEL]  0, 0, 39, 'PL9', 'U387 FORD SPORT 2011'</v>
      </c>
    </row>
    <row r="126" spans="1:13" x14ac:dyDescent="0.2">
      <c r="A126" s="1">
        <v>19</v>
      </c>
      <c r="B126" s="1" t="s">
        <v>24</v>
      </c>
      <c r="D126" s="1" t="s">
        <v>331</v>
      </c>
      <c r="E126" s="1">
        <v>39</v>
      </c>
      <c r="F126" s="1" t="s">
        <v>65</v>
      </c>
      <c r="G126" t="s">
        <v>66</v>
      </c>
      <c r="I126" s="2"/>
      <c r="J126" s="2"/>
      <c r="K126" t="s">
        <v>361</v>
      </c>
      <c r="L126" s="10" t="s">
        <v>362</v>
      </c>
      <c r="M126" s="2" t="str">
        <f t="shared" si="7"/>
        <v>EXECUTE [dbo].[PG_CI_ARCUSFIL_PROGRAM_MODEL]  0, 0, 39, 'PVP', 'U387 FORD VPP'</v>
      </c>
    </row>
    <row r="127" spans="1:13" x14ac:dyDescent="0.2">
      <c r="A127" s="1">
        <v>19</v>
      </c>
      <c r="B127" s="1" t="s">
        <v>24</v>
      </c>
      <c r="D127" s="1" t="s">
        <v>331</v>
      </c>
      <c r="E127" s="1">
        <v>39</v>
      </c>
      <c r="F127" s="1" t="s">
        <v>55</v>
      </c>
      <c r="G127" t="s">
        <v>56</v>
      </c>
      <c r="I127" s="2"/>
      <c r="J127" s="2"/>
      <c r="K127" t="s">
        <v>361</v>
      </c>
      <c r="L127" s="10" t="s">
        <v>362</v>
      </c>
      <c r="M127" s="2" t="str">
        <f t="shared" si="7"/>
        <v>EXECUTE [dbo].[PG_CI_ARCUSFIL_PROGRAM_MODEL]  0, 0, 39, 'SL3', '2013 U387 SEL'</v>
      </c>
    </row>
    <row r="128" spans="1:13" x14ac:dyDescent="0.2">
      <c r="A128" s="1">
        <v>19</v>
      </c>
      <c r="B128" s="1" t="s">
        <v>24</v>
      </c>
      <c r="C128" s="1" t="s">
        <v>354</v>
      </c>
      <c r="D128" s="1" t="s">
        <v>329</v>
      </c>
      <c r="E128" s="1">
        <v>40</v>
      </c>
      <c r="F128" s="1" t="s">
        <v>94</v>
      </c>
      <c r="G128" t="s">
        <v>95</v>
      </c>
      <c r="I128" s="2" t="s">
        <v>323</v>
      </c>
      <c r="J128" s="2" t="str">
        <f>_xlfn.CONCAT(I128,A128,", '",TRIM(D128),"'")</f>
        <v>EXECUTE [dbo].[PG_CI_ARCUSFIL_PROGRAM]  0, 0, 19, 'U388'</v>
      </c>
      <c r="K128" t="s">
        <v>361</v>
      </c>
      <c r="L128" s="10" t="s">
        <v>362</v>
      </c>
      <c r="M128" s="2" t="str">
        <f t="shared" si="7"/>
        <v>EXECUTE [dbo].[PG_CI_ARCUSFIL_PROGRAM_MODEL]  0, 0, 40, 'L88', 'U388 LINCOLN LIMITED'</v>
      </c>
    </row>
    <row r="129" spans="1:13" x14ac:dyDescent="0.2">
      <c r="A129" s="1">
        <v>19</v>
      </c>
      <c r="B129" s="1" t="s">
        <v>24</v>
      </c>
      <c r="D129" s="1" t="s">
        <v>329</v>
      </c>
      <c r="E129" s="1">
        <v>40</v>
      </c>
      <c r="F129" s="1" t="s">
        <v>90</v>
      </c>
      <c r="G129" t="s">
        <v>91</v>
      </c>
      <c r="I129" s="2"/>
      <c r="J129" s="2"/>
      <c r="K129" t="s">
        <v>361</v>
      </c>
      <c r="L129" s="10" t="s">
        <v>362</v>
      </c>
      <c r="M129" s="2" t="str">
        <f t="shared" si="7"/>
        <v>EXECUTE [dbo].[PG_CI_ARCUSFIL_PROGRAM_MODEL]  0, 0, 40, 'PL3', 'U388 LINCOLN BASE 2012'</v>
      </c>
    </row>
    <row r="130" spans="1:13" x14ac:dyDescent="0.2">
      <c r="A130" s="1">
        <v>19</v>
      </c>
      <c r="B130" s="1" t="s">
        <v>24</v>
      </c>
      <c r="D130" s="1" t="s">
        <v>329</v>
      </c>
      <c r="E130" s="1">
        <v>40</v>
      </c>
      <c r="F130" s="1" t="s">
        <v>84</v>
      </c>
      <c r="G130" t="s">
        <v>85</v>
      </c>
      <c r="I130" s="2"/>
      <c r="J130" s="2"/>
      <c r="K130" t="s">
        <v>361</v>
      </c>
      <c r="L130" s="10" t="s">
        <v>362</v>
      </c>
      <c r="M130" s="2" t="str">
        <f t="shared" si="7"/>
        <v>EXECUTE [dbo].[PG_CI_ARCUSFIL_PROGRAM_MODEL]  0, 0, 40, 'PL6', 'U388 LINCOLN ULTIMATE'</v>
      </c>
    </row>
    <row r="131" spans="1:13" x14ac:dyDescent="0.2">
      <c r="A131" s="1">
        <v>19</v>
      </c>
      <c r="B131" s="1" t="s">
        <v>24</v>
      </c>
      <c r="D131" s="1" t="s">
        <v>329</v>
      </c>
      <c r="E131" s="1">
        <v>40</v>
      </c>
      <c r="F131" s="1" t="s">
        <v>75</v>
      </c>
      <c r="G131" t="s">
        <v>76</v>
      </c>
      <c r="I131" s="2"/>
      <c r="J131" s="2"/>
      <c r="K131" t="s">
        <v>361</v>
      </c>
      <c r="L131" s="10" t="s">
        <v>362</v>
      </c>
      <c r="M131" s="2" t="str">
        <f t="shared" ref="M131:M156" si="10">_xlfn.CONCAT(L131,E131,", '",TRIM(F131),"', '",TRIM(G131),"'")</f>
        <v>EXECUTE [dbo].[PG_CI_ARCUSFIL_PROGRAM_MODEL]  0, 0, 40, 'PLB', 'U388 HEADREST 2012'</v>
      </c>
    </row>
    <row r="132" spans="1:13" x14ac:dyDescent="0.2">
      <c r="A132" s="1">
        <v>19</v>
      </c>
      <c r="B132" s="1" t="s">
        <v>24</v>
      </c>
      <c r="C132" s="1" t="s">
        <v>354</v>
      </c>
      <c r="D132" s="1" t="s">
        <v>347</v>
      </c>
      <c r="E132" s="1">
        <v>41</v>
      </c>
      <c r="F132" s="1" t="s">
        <v>53</v>
      </c>
      <c r="G132" t="s">
        <v>54</v>
      </c>
      <c r="I132" s="2" t="s">
        <v>323</v>
      </c>
      <c r="J132" s="2" t="str">
        <f t="shared" ref="J132:J133" si="11">_xlfn.CONCAT(I132,A132,", '",TRIM(D132),"'")</f>
        <v>EXECUTE [dbo].[PG_CI_ARCUSFIL_PROGRAM]  0, 0, 19, 'U540'</v>
      </c>
      <c r="K132" t="s">
        <v>361</v>
      </c>
      <c r="L132" s="10" t="s">
        <v>362</v>
      </c>
      <c r="M132" s="2" t="str">
        <f t="shared" si="10"/>
        <v>EXECUTE [dbo].[PG_CI_ARCUSFIL_PROGRAM_MODEL]  0, 0, 41, 'U54', 'U540 VINYL LAMINATION'</v>
      </c>
    </row>
    <row r="133" spans="1:13" x14ac:dyDescent="0.2">
      <c r="A133" s="1">
        <v>19</v>
      </c>
      <c r="B133" s="1" t="s">
        <v>24</v>
      </c>
      <c r="C133" s="1" t="s">
        <v>354</v>
      </c>
      <c r="D133" s="1" t="s">
        <v>348</v>
      </c>
      <c r="E133" s="1">
        <v>42</v>
      </c>
      <c r="F133" s="1" t="s">
        <v>49</v>
      </c>
      <c r="G133" t="s">
        <v>50</v>
      </c>
      <c r="I133" s="2" t="s">
        <v>323</v>
      </c>
      <c r="J133" s="2" t="str">
        <f t="shared" si="11"/>
        <v>EXECUTE [dbo].[PG_CI_ARCUSFIL_PROGRAM]  0, 0, 19, 'WD'</v>
      </c>
      <c r="K133" t="s">
        <v>361</v>
      </c>
      <c r="L133" s="10" t="s">
        <v>362</v>
      </c>
      <c r="M133" s="2" t="str">
        <f t="shared" si="10"/>
        <v>EXECUTE [dbo].[PG_CI_ARCUSFIL_PROGRAM_MODEL]  0, 0, 42, 'WD2', '2017 WD ML DOS TONOS'</v>
      </c>
    </row>
    <row r="134" spans="1:13" x14ac:dyDescent="0.2">
      <c r="A134" s="1">
        <v>19</v>
      </c>
      <c r="B134" s="1" t="s">
        <v>24</v>
      </c>
      <c r="D134" s="1" t="s">
        <v>348</v>
      </c>
      <c r="E134" s="1">
        <v>42</v>
      </c>
      <c r="F134" s="1" t="s">
        <v>47</v>
      </c>
      <c r="G134" t="s">
        <v>48</v>
      </c>
      <c r="I134" s="2"/>
      <c r="J134" s="2"/>
      <c r="K134" t="s">
        <v>361</v>
      </c>
      <c r="L134" s="10" t="s">
        <v>362</v>
      </c>
      <c r="M134" s="2" t="str">
        <f t="shared" si="10"/>
        <v>EXECUTE [dbo].[PG_CI_ARCUSFIL_PROGRAM_MODEL]  0, 0, 42, 'WDM', '2017 WD ML'</v>
      </c>
    </row>
    <row r="135" spans="1:13" x14ac:dyDescent="0.2">
      <c r="A135" s="1">
        <v>19</v>
      </c>
      <c r="B135" s="1" t="s">
        <v>24</v>
      </c>
      <c r="D135" s="1" t="s">
        <v>348</v>
      </c>
      <c r="E135" s="1">
        <v>42</v>
      </c>
      <c r="F135" s="1" t="s">
        <v>28</v>
      </c>
      <c r="G135" t="s">
        <v>29</v>
      </c>
      <c r="I135" s="2"/>
      <c r="J135" s="2"/>
      <c r="K135" t="s">
        <v>361</v>
      </c>
      <c r="L135" s="10" t="s">
        <v>362</v>
      </c>
      <c r="M135" s="2" t="str">
        <f t="shared" si="10"/>
        <v>EXECUTE [dbo].[PG_CI_ARCUSFIL_PROGRAM_MODEL]  0, 0, 42, 'WPL', '2018 WD PL'</v>
      </c>
    </row>
    <row r="136" spans="1:13" x14ac:dyDescent="0.2">
      <c r="A136" s="1">
        <v>19</v>
      </c>
      <c r="B136" s="1" t="s">
        <v>24</v>
      </c>
      <c r="C136" s="1" t="s">
        <v>354</v>
      </c>
      <c r="D136" s="1" t="s">
        <v>326</v>
      </c>
      <c r="E136" s="1">
        <v>43</v>
      </c>
      <c r="F136" s="1" t="s">
        <v>51</v>
      </c>
      <c r="G136" t="s">
        <v>52</v>
      </c>
      <c r="I136" s="2" t="s">
        <v>323</v>
      </c>
      <c r="J136" s="2" t="str">
        <f>_xlfn.CONCAT(I136,A136,", '",TRIM(D136),"'")</f>
        <v>EXECUTE [dbo].[PG_CI_ARCUSFIL_PROGRAM]  0, 0, 19, 'WK'</v>
      </c>
      <c r="K136" t="s">
        <v>361</v>
      </c>
      <c r="L136" s="10" t="s">
        <v>362</v>
      </c>
      <c r="M136" s="2" t="str">
        <f t="shared" si="10"/>
        <v>EXECUTE [dbo].[PG_CI_ARCUSFIL_PROGRAM_MODEL]  0, 0, 43, 'WBL', '2017 WK BL'</v>
      </c>
    </row>
    <row r="137" spans="1:13" x14ac:dyDescent="0.2">
      <c r="A137" s="1">
        <v>19</v>
      </c>
      <c r="B137" s="1" t="s">
        <v>24</v>
      </c>
      <c r="D137" s="1" t="s">
        <v>326</v>
      </c>
      <c r="E137" s="1">
        <v>43</v>
      </c>
      <c r="F137" s="1" t="s">
        <v>45</v>
      </c>
      <c r="G137" t="s">
        <v>46</v>
      </c>
      <c r="I137" s="2"/>
      <c r="J137" s="2"/>
      <c r="K137" t="s">
        <v>361</v>
      </c>
      <c r="L137" s="10" t="s">
        <v>362</v>
      </c>
      <c r="M137" s="2" t="str">
        <f t="shared" si="10"/>
        <v>EXECUTE [dbo].[PG_CI_ARCUSFIL_PROGRAM_MODEL]  0, 0, 43, 'WEL', '2017 WK-EL RESERVE'</v>
      </c>
    </row>
    <row r="138" spans="1:13" x14ac:dyDescent="0.2">
      <c r="A138" s="1">
        <v>19</v>
      </c>
      <c r="B138" s="1" t="s">
        <v>24</v>
      </c>
      <c r="D138" s="1" t="s">
        <v>326</v>
      </c>
      <c r="E138" s="1">
        <v>43</v>
      </c>
      <c r="F138" s="1" t="s">
        <v>43</v>
      </c>
      <c r="G138" t="s">
        <v>44</v>
      </c>
      <c r="I138" s="2"/>
      <c r="J138" s="2"/>
      <c r="K138" t="s">
        <v>361</v>
      </c>
      <c r="L138" s="10" t="s">
        <v>362</v>
      </c>
      <c r="M138" s="2" t="str">
        <f t="shared" si="10"/>
        <v>EXECUTE [dbo].[PG_CI_ARCUSFIL_PROGRAM_MODEL]  0, 0, 43, 'WKG', '2014 WK JEEP GL/DL'</v>
      </c>
    </row>
    <row r="139" spans="1:13" x14ac:dyDescent="0.2">
      <c r="A139" s="1">
        <v>19</v>
      </c>
      <c r="B139" s="1" t="s">
        <v>24</v>
      </c>
      <c r="D139" s="1" t="s">
        <v>326</v>
      </c>
      <c r="E139" s="1">
        <v>43</v>
      </c>
      <c r="F139" s="1" t="s">
        <v>41</v>
      </c>
      <c r="G139" t="s">
        <v>42</v>
      </c>
      <c r="I139" s="2"/>
      <c r="J139" s="2"/>
      <c r="K139" t="s">
        <v>361</v>
      </c>
      <c r="L139" s="10" t="s">
        <v>362</v>
      </c>
      <c r="M139" s="2" t="str">
        <f t="shared" si="10"/>
        <v>EXECUTE [dbo].[PG_CI_ARCUSFIL_PROGRAM_MODEL]  0, 0, 43, 'WKJ', '2017 WK CJ'</v>
      </c>
    </row>
    <row r="140" spans="1:13" x14ac:dyDescent="0.2">
      <c r="A140" s="1">
        <v>19</v>
      </c>
      <c r="B140" s="1" t="s">
        <v>24</v>
      </c>
      <c r="D140" s="1" t="s">
        <v>326</v>
      </c>
      <c r="E140" s="1">
        <v>43</v>
      </c>
      <c r="F140" s="1" t="s">
        <v>39</v>
      </c>
      <c r="G140" t="s">
        <v>40</v>
      </c>
      <c r="I140" s="2"/>
      <c r="J140" s="2"/>
      <c r="K140" t="s">
        <v>361</v>
      </c>
      <c r="L140" s="10" t="s">
        <v>362</v>
      </c>
      <c r="M140" s="2" t="str">
        <f t="shared" si="10"/>
        <v>EXECUTE [dbo].[PG_CI_ARCUSFIL_PROGRAM_MODEL]  0, 0, 43, 'WKL', '2015 WK KL ALTITUDE II'</v>
      </c>
    </row>
    <row r="141" spans="1:13" x14ac:dyDescent="0.2">
      <c r="A141" s="1">
        <v>19</v>
      </c>
      <c r="B141" s="1" t="s">
        <v>24</v>
      </c>
      <c r="D141" s="1" t="s">
        <v>326</v>
      </c>
      <c r="E141" s="1">
        <v>43</v>
      </c>
      <c r="F141" s="1" t="s">
        <v>37</v>
      </c>
      <c r="G141" t="s">
        <v>38</v>
      </c>
      <c r="I141" s="2"/>
      <c r="J141" s="2"/>
      <c r="K141" t="s">
        <v>361</v>
      </c>
      <c r="L141" s="10" t="s">
        <v>362</v>
      </c>
      <c r="M141" s="2" t="str">
        <f t="shared" si="10"/>
        <v>EXECUTE [dbo].[PG_CI_ARCUSFIL_PROGRAM_MODEL]  0, 0, 43, 'WKT', '2014 WK JEEP GL/DL TWO TONES'</v>
      </c>
    </row>
    <row r="142" spans="1:13" x14ac:dyDescent="0.2">
      <c r="A142" s="1">
        <v>19</v>
      </c>
      <c r="B142" s="1" t="s">
        <v>24</v>
      </c>
      <c r="D142" s="1" t="s">
        <v>326</v>
      </c>
      <c r="E142" s="1">
        <v>43</v>
      </c>
      <c r="F142" s="1" t="s">
        <v>35</v>
      </c>
      <c r="G142" t="s">
        <v>36</v>
      </c>
      <c r="I142" s="2"/>
      <c r="J142" s="2"/>
      <c r="K142" t="s">
        <v>361</v>
      </c>
      <c r="L142" s="10" t="s">
        <v>362</v>
      </c>
      <c r="M142" s="2" t="str">
        <f t="shared" si="10"/>
        <v>EXECUTE [dbo].[PG_CI_ARCUSFIL_PROGRAM_MODEL]  0, 0, 43, 'WKU', '2014 WK JEEP UL'</v>
      </c>
    </row>
    <row r="143" spans="1:13" x14ac:dyDescent="0.2">
      <c r="A143" s="1">
        <v>19</v>
      </c>
      <c r="B143" s="1" t="s">
        <v>24</v>
      </c>
      <c r="D143" s="1" t="s">
        <v>326</v>
      </c>
      <c r="E143" s="1">
        <v>43</v>
      </c>
      <c r="F143" s="1" t="s">
        <v>34</v>
      </c>
      <c r="G143" t="s">
        <v>25</v>
      </c>
      <c r="I143" s="2"/>
      <c r="J143" s="2"/>
      <c r="K143" t="s">
        <v>361</v>
      </c>
      <c r="L143" s="10" t="s">
        <v>362</v>
      </c>
      <c r="M143" s="2" t="str">
        <f t="shared" si="10"/>
        <v>EXECUTE [dbo].[PG_CI_ARCUSFIL_PROGRAM_MODEL]  0, 0, 43, 'WKY', '2018 WK YL'</v>
      </c>
    </row>
    <row r="144" spans="1:13" x14ac:dyDescent="0.2">
      <c r="A144" s="1">
        <v>19</v>
      </c>
      <c r="B144" s="1" t="s">
        <v>24</v>
      </c>
      <c r="D144" s="1" t="s">
        <v>326</v>
      </c>
      <c r="E144" s="1">
        <v>43</v>
      </c>
      <c r="F144" s="1" t="s">
        <v>32</v>
      </c>
      <c r="G144" t="s">
        <v>33</v>
      </c>
      <c r="I144" s="2"/>
      <c r="J144" s="2"/>
      <c r="K144" t="s">
        <v>361</v>
      </c>
      <c r="L144" s="10" t="s">
        <v>362</v>
      </c>
      <c r="M144" s="2" t="str">
        <f t="shared" si="10"/>
        <v>EXECUTE [dbo].[PG_CI_ARCUSFIL_PROGRAM_MODEL]  0, 0, 43, 'WKZ', '2014 WK DZ(SRT)'</v>
      </c>
    </row>
    <row r="145" spans="1:13" x14ac:dyDescent="0.2">
      <c r="A145" s="1">
        <v>19</v>
      </c>
      <c r="B145" s="1" t="s">
        <v>24</v>
      </c>
      <c r="D145" s="1" t="s">
        <v>326</v>
      </c>
      <c r="E145" s="1">
        <v>43</v>
      </c>
      <c r="F145" s="1" t="s">
        <v>30</v>
      </c>
      <c r="G145" t="s">
        <v>31</v>
      </c>
      <c r="I145" s="2"/>
      <c r="J145" s="2"/>
      <c r="K145" t="s">
        <v>361</v>
      </c>
      <c r="L145" s="10" t="s">
        <v>362</v>
      </c>
      <c r="M145" s="2" t="str">
        <f t="shared" si="10"/>
        <v>EXECUTE [dbo].[PG_CI_ARCUSFIL_PROGRAM_MODEL]  0, 0, 43, 'WNL', '2018 WK NL'</v>
      </c>
    </row>
    <row r="146" spans="1:13" x14ac:dyDescent="0.2">
      <c r="A146" s="1">
        <v>19</v>
      </c>
      <c r="B146" s="1" t="s">
        <v>24</v>
      </c>
      <c r="D146" s="1" t="s">
        <v>326</v>
      </c>
      <c r="E146" s="1">
        <v>43</v>
      </c>
      <c r="F146" s="1" t="s">
        <v>355</v>
      </c>
      <c r="G146" t="s">
        <v>356</v>
      </c>
      <c r="I146" s="2"/>
      <c r="J146" s="2"/>
      <c r="K146" t="s">
        <v>361</v>
      </c>
      <c r="L146" s="10" t="s">
        <v>362</v>
      </c>
      <c r="M146" s="2" t="str">
        <f t="shared" si="10"/>
        <v>EXECUTE [dbo].[PG_CI_ARCUSFIL_PROGRAM_MODEL]  0, 0, 43, 'SI3', '3NEWMODELSIS'</v>
      </c>
    </row>
    <row r="147" spans="1:13" x14ac:dyDescent="0.2">
      <c r="A147" s="1">
        <v>19</v>
      </c>
      <c r="B147" s="1" t="s">
        <v>24</v>
      </c>
      <c r="D147" s="1" t="s">
        <v>326</v>
      </c>
      <c r="E147" s="1">
        <v>43</v>
      </c>
      <c r="F147" s="1" t="s">
        <v>22</v>
      </c>
      <c r="G147" t="s">
        <v>23</v>
      </c>
      <c r="I147" s="2"/>
      <c r="J147" s="2"/>
      <c r="K147" t="s">
        <v>361</v>
      </c>
      <c r="L147" s="10" t="s">
        <v>362</v>
      </c>
      <c r="M147" s="2" t="str">
        <f t="shared" si="10"/>
        <v>EXECUTE [dbo].[PG_CI_ARCUSFIL_PROGRAM_MODEL]  0, 0, 43, 'XYZ', 'WK TEST'</v>
      </c>
    </row>
    <row r="148" spans="1:13" x14ac:dyDescent="0.2">
      <c r="A148" s="1">
        <v>19</v>
      </c>
      <c r="B148" s="1" t="s">
        <v>24</v>
      </c>
      <c r="C148" s="1" t="s">
        <v>354</v>
      </c>
      <c r="D148" s="1" t="s">
        <v>327</v>
      </c>
      <c r="E148" s="1">
        <v>44</v>
      </c>
      <c r="F148" s="1" t="s">
        <v>26</v>
      </c>
      <c r="G148" t="s">
        <v>27</v>
      </c>
      <c r="I148" s="2" t="s">
        <v>323</v>
      </c>
      <c r="J148" s="2" t="str">
        <f t="shared" ref="J148:J153" si="12">_xlfn.CONCAT(I148,A148,", '",TRIM(D148),"'")</f>
        <v>EXECUTE [dbo].[PG_CI_ARCUSFIL_PROGRAM]  0, 0, 19, 'WS'</v>
      </c>
      <c r="K148" t="s">
        <v>361</v>
      </c>
      <c r="L148" s="10" t="s">
        <v>362</v>
      </c>
      <c r="M148" s="2" t="str">
        <f t="shared" si="10"/>
        <v>EXECUTE [dbo].[PG_CI_ARCUSFIL_PROGRAM_MODEL]  0, 0, 44, 'WSL', '2019 WS JEEP AL'</v>
      </c>
    </row>
    <row r="149" spans="1:13" x14ac:dyDescent="0.2">
      <c r="A149" s="1">
        <v>41</v>
      </c>
      <c r="B149" s="1" t="s">
        <v>21</v>
      </c>
      <c r="C149" s="1" t="s">
        <v>354</v>
      </c>
      <c r="D149" s="1" t="s">
        <v>329</v>
      </c>
      <c r="E149" s="1">
        <v>45</v>
      </c>
      <c r="F149" s="1" t="s">
        <v>19</v>
      </c>
      <c r="G149" t="s">
        <v>20</v>
      </c>
      <c r="I149" s="2" t="s">
        <v>323</v>
      </c>
      <c r="J149" s="2" t="str">
        <f t="shared" si="12"/>
        <v>EXECUTE [dbo].[PG_CI_ARCUSFIL_PROGRAM]  0, 0, 41, 'U388'</v>
      </c>
      <c r="K149" t="s">
        <v>361</v>
      </c>
      <c r="L149" s="10" t="s">
        <v>362</v>
      </c>
      <c r="M149" s="2" t="str">
        <f t="shared" si="10"/>
        <v>EXECUTE [dbo].[PG_CI_ARCUSFIL_PROGRAM_MODEL]  0, 0, 45, 'MYS', 'U388 HEADREST'</v>
      </c>
    </row>
    <row r="150" spans="1:13" x14ac:dyDescent="0.2">
      <c r="A150" s="1">
        <v>27</v>
      </c>
      <c r="B150" s="1" t="s">
        <v>18</v>
      </c>
      <c r="C150" s="1" t="s">
        <v>354</v>
      </c>
      <c r="D150" s="1" t="s">
        <v>337</v>
      </c>
      <c r="E150" s="1">
        <v>46</v>
      </c>
      <c r="F150" s="1" t="s">
        <v>16</v>
      </c>
      <c r="G150" t="s">
        <v>17</v>
      </c>
      <c r="I150" s="2" t="s">
        <v>323</v>
      </c>
      <c r="J150" s="2" t="str">
        <f t="shared" si="12"/>
        <v>EXECUTE [dbo].[PG_CI_ARCUSFIL_PROGRAM]  0, 0, 27, 'U228'</v>
      </c>
      <c r="K150" t="s">
        <v>361</v>
      </c>
      <c r="L150" s="10" t="s">
        <v>362</v>
      </c>
      <c r="M150" s="2" t="str">
        <f t="shared" si="10"/>
        <v>EXECUTE [dbo].[PG_CI_ARCUSFIL_PROGRAM_MODEL]  0, 0, 46, 'THE', 'U228 NAVIGATOR HEADREST'</v>
      </c>
    </row>
    <row r="151" spans="1:13" x14ac:dyDescent="0.2">
      <c r="A151" s="1">
        <v>36</v>
      </c>
      <c r="B151" s="1" t="s">
        <v>15</v>
      </c>
      <c r="C151" s="1" t="s">
        <v>354</v>
      </c>
      <c r="D151" s="1" t="s">
        <v>346</v>
      </c>
      <c r="E151" s="1">
        <v>47</v>
      </c>
      <c r="F151" s="1" t="s">
        <v>13</v>
      </c>
      <c r="G151" t="s">
        <v>14</v>
      </c>
      <c r="I151" s="2" t="s">
        <v>323</v>
      </c>
      <c r="J151" s="2" t="str">
        <f t="shared" si="12"/>
        <v>EXECUTE [dbo].[PG_CI_ARCUSFIL_PROGRAM]  0, 0, 36, 'RU'</v>
      </c>
      <c r="K151" t="s">
        <v>361</v>
      </c>
      <c r="L151" s="10" t="s">
        <v>362</v>
      </c>
      <c r="M151" s="2" t="str">
        <f t="shared" si="10"/>
        <v>EXECUTE [dbo].[PG_CI_ARCUSFIL_PROGRAM_MODEL]  0, 0, 47, 'RUP', '2021 RU PINNACLE'</v>
      </c>
    </row>
    <row r="152" spans="1:13" x14ac:dyDescent="0.2">
      <c r="A152" s="1">
        <v>55</v>
      </c>
      <c r="B152" s="1" t="s">
        <v>12</v>
      </c>
      <c r="C152" s="1" t="s">
        <v>354</v>
      </c>
      <c r="D152" s="1" t="s">
        <v>10</v>
      </c>
      <c r="E152" s="1">
        <v>48</v>
      </c>
      <c r="F152" s="1" t="s">
        <v>10</v>
      </c>
      <c r="G152" t="s">
        <v>11</v>
      </c>
      <c r="I152" s="2" t="s">
        <v>323</v>
      </c>
      <c r="J152" s="2" t="str">
        <f t="shared" si="12"/>
        <v>EXECUTE [dbo].[PG_CI_ARCUSFIL_PROGRAM]  0, 0, 55, 'WPI'</v>
      </c>
      <c r="K152" t="s">
        <v>361</v>
      </c>
      <c r="L152" s="10" t="s">
        <v>362</v>
      </c>
      <c r="M152" s="2" t="str">
        <f t="shared" si="10"/>
        <v>EXECUTE [dbo].[PG_CI_ARCUSFIL_PROGRAM_MODEL]  0, 0, 48, 'WPI', '2021 WPI WD CONSOLE LID'</v>
      </c>
    </row>
    <row r="153" spans="1:13" x14ac:dyDescent="0.2">
      <c r="A153" s="1">
        <v>53</v>
      </c>
      <c r="B153" s="1" t="s">
        <v>7</v>
      </c>
      <c r="C153" s="1" t="s">
        <v>354</v>
      </c>
      <c r="D153" s="1" t="s">
        <v>327</v>
      </c>
      <c r="E153" s="1">
        <v>49</v>
      </c>
      <c r="F153" s="1" t="s">
        <v>8</v>
      </c>
      <c r="G153" t="s">
        <v>9</v>
      </c>
      <c r="I153" s="2" t="s">
        <v>323</v>
      </c>
      <c r="J153" s="2" t="str">
        <f t="shared" si="12"/>
        <v>EXECUTE [dbo].[PG_CI_ARCUSFIL_PROGRAM]  0, 0, 53, 'WS'</v>
      </c>
      <c r="K153" t="s">
        <v>361</v>
      </c>
      <c r="L153" s="10" t="s">
        <v>362</v>
      </c>
      <c r="M153" s="2" t="str">
        <f t="shared" si="10"/>
        <v>EXECUTE [dbo].[PG_CI_ARCUSFIL_PROGRAM_MODEL]  0, 0, 49, 'YWD', 'WS YANGFENG DOOR PANEL'</v>
      </c>
    </row>
    <row r="154" spans="1:13" x14ac:dyDescent="0.2">
      <c r="A154" s="1">
        <v>53</v>
      </c>
      <c r="B154" s="1" t="s">
        <v>7</v>
      </c>
      <c r="C154" s="5"/>
      <c r="D154" s="1" t="s">
        <v>327</v>
      </c>
      <c r="E154" s="1">
        <v>49</v>
      </c>
      <c r="F154" s="5" t="s">
        <v>5</v>
      </c>
      <c r="G154" s="4" t="s">
        <v>6</v>
      </c>
      <c r="I154" s="2"/>
      <c r="J154" s="2"/>
      <c r="K154" t="s">
        <v>361</v>
      </c>
      <c r="L154" s="10" t="s">
        <v>362</v>
      </c>
      <c r="M154" s="2" t="str">
        <f t="shared" si="10"/>
        <v>EXECUTE [dbo].[PG_CI_ARCUSFIL_PROGRAM_MODEL]  0, 0, 49, 'YWS', '2021 WS JEEP GRAND WAGONEER'</v>
      </c>
    </row>
    <row r="155" spans="1:13" x14ac:dyDescent="0.2">
      <c r="A155" s="1">
        <v>58</v>
      </c>
      <c r="B155" s="1" t="s">
        <v>2</v>
      </c>
      <c r="C155" s="1" t="s">
        <v>354</v>
      </c>
      <c r="D155" s="1" t="s">
        <v>324</v>
      </c>
      <c r="E155" s="1">
        <v>50</v>
      </c>
      <c r="F155" s="1" t="s">
        <v>3</v>
      </c>
      <c r="G155" t="s">
        <v>4</v>
      </c>
      <c r="I155" s="2" t="s">
        <v>323</v>
      </c>
      <c r="J155" s="2" t="str">
        <f>_xlfn.CONCAT(I155,A155,", '",TRIM(D155),"'")</f>
        <v>EXECUTE [dbo].[PG_CI_ARCUSFIL_PROGRAM]  0, 0, 58, 'WL'</v>
      </c>
      <c r="K155" t="s">
        <v>361</v>
      </c>
      <c r="L155" s="10" t="s">
        <v>362</v>
      </c>
      <c r="M155" s="2" t="str">
        <f t="shared" si="10"/>
        <v>EXECUTE [dbo].[PG_CI_ARCUSFIL_PROGRAM_MODEL]  0, 0, 50, 'YC4', '2021 WL 74 JEEP GRAND CHEROKEE'</v>
      </c>
    </row>
    <row r="156" spans="1:13" x14ac:dyDescent="0.2">
      <c r="A156" s="1">
        <v>58</v>
      </c>
      <c r="B156" s="1" t="s">
        <v>2</v>
      </c>
      <c r="D156" s="1" t="s">
        <v>324</v>
      </c>
      <c r="E156" s="1">
        <v>50</v>
      </c>
      <c r="F156" s="1" t="s">
        <v>0</v>
      </c>
      <c r="G156" t="s">
        <v>1</v>
      </c>
      <c r="I156" s="2"/>
      <c r="J156" s="2"/>
      <c r="K156" t="s">
        <v>361</v>
      </c>
      <c r="L156" s="10" t="s">
        <v>362</v>
      </c>
      <c r="M156" s="2" t="str">
        <f t="shared" si="10"/>
        <v>EXECUTE [dbo].[PG_CI_ARCUSFIL_PROGRAM_MODEL]  0, 0, 50, 'YC5', '2021 WL 75 JEEP GRAND CHEROKEE'</v>
      </c>
    </row>
    <row r="157" spans="1:13" x14ac:dyDescent="0.2">
      <c r="I157" s="2"/>
      <c r="J157" s="2"/>
    </row>
  </sheetData>
  <autoFilter ref="A2:G156" xr:uid="{A6624B66-3564-4726-9042-5E67060D5D02}">
    <sortState xmlns:xlrd2="http://schemas.microsoft.com/office/spreadsheetml/2017/richdata2" ref="A3:G156">
      <sortCondition ref="B2:B156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D8FC-895B-4C1A-9DDF-6C27F4F6779F}">
  <dimension ref="F2:J52"/>
  <sheetViews>
    <sheetView workbookViewId="0">
      <selection activeCell="F3" sqref="F3:F52"/>
    </sheetView>
  </sheetViews>
  <sheetFormatPr baseColWidth="10" defaultRowHeight="12.75" x14ac:dyDescent="0.2"/>
  <cols>
    <col min="7" max="7" width="11.42578125" style="7"/>
    <col min="8" max="8" width="11.42578125" style="8"/>
  </cols>
  <sheetData>
    <row r="2" spans="6:10" x14ac:dyDescent="0.2">
      <c r="F2" t="s">
        <v>359</v>
      </c>
      <c r="G2" s="7" t="s">
        <v>360</v>
      </c>
    </row>
    <row r="3" spans="6:10" x14ac:dyDescent="0.2">
      <c r="F3">
        <v>1</v>
      </c>
      <c r="G3" s="7" t="s">
        <v>324</v>
      </c>
      <c r="H3" s="2" t="s">
        <v>324</v>
      </c>
      <c r="I3" s="1" t="s">
        <v>307</v>
      </c>
      <c r="J3" s="1" t="s">
        <v>354</v>
      </c>
    </row>
    <row r="4" spans="6:10" x14ac:dyDescent="0.2">
      <c r="F4">
        <v>2</v>
      </c>
      <c r="G4" s="7" t="s">
        <v>325</v>
      </c>
      <c r="H4" s="2" t="s">
        <v>325</v>
      </c>
      <c r="I4" s="1" t="s">
        <v>304</v>
      </c>
      <c r="J4" s="1" t="s">
        <v>354</v>
      </c>
    </row>
    <row r="5" spans="6:10" x14ac:dyDescent="0.2">
      <c r="F5">
        <v>3</v>
      </c>
      <c r="G5" s="7" t="s">
        <v>326</v>
      </c>
      <c r="H5" s="2" t="s">
        <v>326</v>
      </c>
      <c r="I5" s="1" t="s">
        <v>301</v>
      </c>
      <c r="J5" s="1" t="s">
        <v>354</v>
      </c>
    </row>
    <row r="6" spans="6:10" x14ac:dyDescent="0.2">
      <c r="F6">
        <v>4</v>
      </c>
      <c r="G6" s="7" t="s">
        <v>324</v>
      </c>
      <c r="H6" s="2" t="s">
        <v>324</v>
      </c>
      <c r="I6" s="1" t="s">
        <v>298</v>
      </c>
      <c r="J6" s="1" t="s">
        <v>354</v>
      </c>
    </row>
    <row r="7" spans="6:10" x14ac:dyDescent="0.2">
      <c r="F7">
        <v>5</v>
      </c>
      <c r="G7" s="7" t="s">
        <v>327</v>
      </c>
      <c r="H7" s="2" t="s">
        <v>327</v>
      </c>
      <c r="I7" s="1" t="s">
        <v>283</v>
      </c>
      <c r="J7" s="1" t="s">
        <v>354</v>
      </c>
    </row>
    <row r="8" spans="6:10" x14ac:dyDescent="0.2">
      <c r="F8">
        <v>6</v>
      </c>
      <c r="G8" s="7" t="s">
        <v>328</v>
      </c>
      <c r="H8" s="2" t="s">
        <v>328</v>
      </c>
      <c r="I8" s="1" t="s">
        <v>280</v>
      </c>
      <c r="J8" s="1" t="s">
        <v>354</v>
      </c>
    </row>
    <row r="9" spans="6:10" x14ac:dyDescent="0.2">
      <c r="F9">
        <v>7</v>
      </c>
      <c r="G9" s="7" t="s">
        <v>329</v>
      </c>
      <c r="H9" s="2" t="s">
        <v>329</v>
      </c>
      <c r="I9" s="1" t="s">
        <v>277</v>
      </c>
      <c r="J9" s="1" t="s">
        <v>354</v>
      </c>
    </row>
    <row r="10" spans="6:10" x14ac:dyDescent="0.2">
      <c r="F10">
        <v>8</v>
      </c>
      <c r="G10" s="7" t="s">
        <v>324</v>
      </c>
      <c r="H10" s="2" t="s">
        <v>324</v>
      </c>
      <c r="I10" s="1" t="s">
        <v>273</v>
      </c>
      <c r="J10" s="1" t="s">
        <v>354</v>
      </c>
    </row>
    <row r="11" spans="6:10" x14ac:dyDescent="0.2">
      <c r="F11">
        <v>9</v>
      </c>
      <c r="G11" s="7" t="s">
        <v>327</v>
      </c>
      <c r="H11" s="2" t="s">
        <v>327</v>
      </c>
      <c r="I11" s="1" t="s">
        <v>273</v>
      </c>
      <c r="J11" s="1" t="s">
        <v>354</v>
      </c>
    </row>
    <row r="12" spans="6:10" x14ac:dyDescent="0.2">
      <c r="F12">
        <v>10</v>
      </c>
      <c r="G12" s="7" t="s">
        <v>330</v>
      </c>
      <c r="H12" s="2" t="s">
        <v>330</v>
      </c>
      <c r="I12" s="1" t="s">
        <v>235</v>
      </c>
      <c r="J12" s="1" t="s">
        <v>354</v>
      </c>
    </row>
    <row r="13" spans="6:10" x14ac:dyDescent="0.2">
      <c r="F13">
        <v>11</v>
      </c>
      <c r="G13" s="7" t="s">
        <v>332</v>
      </c>
      <c r="H13" s="2" t="s">
        <v>332</v>
      </c>
      <c r="I13" s="1" t="s">
        <v>235</v>
      </c>
      <c r="J13" s="1" t="s">
        <v>354</v>
      </c>
    </row>
    <row r="14" spans="6:10" x14ac:dyDescent="0.2">
      <c r="F14">
        <v>12</v>
      </c>
      <c r="G14" s="7" t="s">
        <v>353</v>
      </c>
      <c r="H14" s="2" t="s">
        <v>353</v>
      </c>
      <c r="I14" s="1" t="s">
        <v>235</v>
      </c>
      <c r="J14" s="1" t="s">
        <v>354</v>
      </c>
    </row>
    <row r="15" spans="6:10" x14ac:dyDescent="0.2">
      <c r="F15">
        <v>13</v>
      </c>
      <c r="G15" s="7" t="s">
        <v>331</v>
      </c>
      <c r="H15" s="2" t="s">
        <v>331</v>
      </c>
      <c r="I15" s="1" t="s">
        <v>235</v>
      </c>
      <c r="J15" s="1" t="s">
        <v>354</v>
      </c>
    </row>
    <row r="16" spans="6:10" x14ac:dyDescent="0.2">
      <c r="F16">
        <v>14</v>
      </c>
      <c r="G16" s="7" t="s">
        <v>329</v>
      </c>
      <c r="H16" s="2" t="s">
        <v>329</v>
      </c>
      <c r="I16" s="1" t="s">
        <v>235</v>
      </c>
      <c r="J16" s="1" t="s">
        <v>354</v>
      </c>
    </row>
    <row r="17" spans="6:10" x14ac:dyDescent="0.2">
      <c r="F17">
        <v>15</v>
      </c>
      <c r="G17" s="7" t="s">
        <v>333</v>
      </c>
      <c r="H17" s="2" t="s">
        <v>333</v>
      </c>
      <c r="I17" s="1" t="s">
        <v>235</v>
      </c>
      <c r="J17" s="1" t="s">
        <v>354</v>
      </c>
    </row>
    <row r="18" spans="6:10" x14ac:dyDescent="0.2">
      <c r="F18">
        <v>16</v>
      </c>
      <c r="G18" s="7" t="s">
        <v>324</v>
      </c>
      <c r="H18" s="2" t="s">
        <v>324</v>
      </c>
      <c r="I18" s="1" t="s">
        <v>235</v>
      </c>
      <c r="J18" s="1" t="s">
        <v>354</v>
      </c>
    </row>
    <row r="19" spans="6:10" x14ac:dyDescent="0.2">
      <c r="F19">
        <v>17</v>
      </c>
      <c r="G19" s="7" t="s">
        <v>330</v>
      </c>
      <c r="H19" s="2" t="s">
        <v>330</v>
      </c>
      <c r="I19" s="1" t="s">
        <v>226</v>
      </c>
      <c r="J19" s="1" t="s">
        <v>354</v>
      </c>
    </row>
    <row r="20" spans="6:10" x14ac:dyDescent="0.2">
      <c r="F20">
        <v>18</v>
      </c>
      <c r="G20" s="7" t="s">
        <v>329</v>
      </c>
      <c r="H20" s="2" t="s">
        <v>329</v>
      </c>
      <c r="I20" s="1" t="s">
        <v>223</v>
      </c>
      <c r="J20" s="1" t="s">
        <v>354</v>
      </c>
    </row>
    <row r="21" spans="6:10" x14ac:dyDescent="0.2">
      <c r="F21">
        <v>19</v>
      </c>
      <c r="G21" s="7" t="s">
        <v>335</v>
      </c>
      <c r="H21" s="2" t="s">
        <v>335</v>
      </c>
      <c r="I21" s="1" t="s">
        <v>217</v>
      </c>
      <c r="J21" s="1" t="s">
        <v>354</v>
      </c>
    </row>
    <row r="22" spans="6:10" x14ac:dyDescent="0.2">
      <c r="F22">
        <v>20</v>
      </c>
      <c r="G22" s="7" t="s">
        <v>334</v>
      </c>
      <c r="H22" s="2" t="s">
        <v>334</v>
      </c>
      <c r="I22" s="1" t="s">
        <v>217</v>
      </c>
      <c r="J22" s="1" t="s">
        <v>354</v>
      </c>
    </row>
    <row r="23" spans="6:10" x14ac:dyDescent="0.2">
      <c r="F23">
        <v>21</v>
      </c>
      <c r="G23" s="7" t="s">
        <v>335</v>
      </c>
      <c r="H23" s="2" t="s">
        <v>335</v>
      </c>
      <c r="I23" s="1" t="s">
        <v>202</v>
      </c>
      <c r="J23" s="1" t="s">
        <v>354</v>
      </c>
    </row>
    <row r="24" spans="6:10" x14ac:dyDescent="0.2">
      <c r="F24">
        <v>22</v>
      </c>
      <c r="G24" s="7" t="s">
        <v>336</v>
      </c>
      <c r="H24" s="2" t="s">
        <v>336</v>
      </c>
      <c r="I24" s="1" t="s">
        <v>202</v>
      </c>
      <c r="J24" s="1" t="s">
        <v>354</v>
      </c>
    </row>
    <row r="25" spans="6:10" x14ac:dyDescent="0.2">
      <c r="F25">
        <v>23</v>
      </c>
      <c r="G25" s="7" t="s">
        <v>337</v>
      </c>
      <c r="H25" s="2" t="s">
        <v>337</v>
      </c>
      <c r="I25" s="1" t="s">
        <v>202</v>
      </c>
      <c r="J25" s="1" t="s">
        <v>354</v>
      </c>
    </row>
    <row r="26" spans="6:10" x14ac:dyDescent="0.2">
      <c r="F26">
        <v>24</v>
      </c>
      <c r="G26" s="7" t="s">
        <v>335</v>
      </c>
      <c r="H26" s="2" t="s">
        <v>335</v>
      </c>
      <c r="I26" s="1" t="s">
        <v>197</v>
      </c>
      <c r="J26" s="1" t="s">
        <v>354</v>
      </c>
    </row>
    <row r="27" spans="6:10" x14ac:dyDescent="0.2">
      <c r="F27">
        <v>25</v>
      </c>
      <c r="G27" s="7" t="s">
        <v>329</v>
      </c>
      <c r="H27" s="2" t="s">
        <v>329</v>
      </c>
      <c r="I27" s="1" t="s">
        <v>194</v>
      </c>
      <c r="J27" s="1" t="s">
        <v>354</v>
      </c>
    </row>
    <row r="28" spans="6:10" x14ac:dyDescent="0.2">
      <c r="F28">
        <v>26</v>
      </c>
      <c r="G28" s="7" t="s">
        <v>340</v>
      </c>
      <c r="H28" s="2" t="s">
        <v>340</v>
      </c>
      <c r="I28" s="1" t="s">
        <v>175</v>
      </c>
      <c r="J28" s="1" t="s">
        <v>354</v>
      </c>
    </row>
    <row r="29" spans="6:10" x14ac:dyDescent="0.2">
      <c r="F29">
        <v>27</v>
      </c>
      <c r="G29" s="7" t="s">
        <v>338</v>
      </c>
      <c r="H29" s="2" t="s">
        <v>338</v>
      </c>
      <c r="I29" s="1" t="s">
        <v>175</v>
      </c>
      <c r="J29" s="1" t="s">
        <v>354</v>
      </c>
    </row>
    <row r="30" spans="6:10" x14ac:dyDescent="0.2">
      <c r="F30">
        <v>28</v>
      </c>
      <c r="G30" s="7" t="s">
        <v>339</v>
      </c>
      <c r="H30" s="2" t="s">
        <v>339</v>
      </c>
      <c r="I30" s="1" t="s">
        <v>175</v>
      </c>
      <c r="J30" s="1" t="s">
        <v>354</v>
      </c>
    </row>
    <row r="31" spans="6:10" x14ac:dyDescent="0.2">
      <c r="F31">
        <v>29</v>
      </c>
      <c r="G31" s="7" t="s">
        <v>341</v>
      </c>
      <c r="H31" s="2" t="s">
        <v>341</v>
      </c>
      <c r="I31" s="1" t="s">
        <v>136</v>
      </c>
      <c r="J31" s="1" t="s">
        <v>354</v>
      </c>
    </row>
    <row r="32" spans="6:10" x14ac:dyDescent="0.2">
      <c r="F32">
        <v>30</v>
      </c>
      <c r="G32" s="7" t="s">
        <v>343</v>
      </c>
      <c r="H32" s="2" t="s">
        <v>343</v>
      </c>
      <c r="I32" s="1" t="s">
        <v>136</v>
      </c>
      <c r="J32" s="1" t="s">
        <v>354</v>
      </c>
    </row>
    <row r="33" spans="6:10" x14ac:dyDescent="0.2">
      <c r="F33">
        <v>31</v>
      </c>
      <c r="G33" s="7" t="s">
        <v>328</v>
      </c>
      <c r="H33" s="2" t="s">
        <v>328</v>
      </c>
      <c r="I33" s="1" t="s">
        <v>136</v>
      </c>
      <c r="J33" s="1" t="s">
        <v>354</v>
      </c>
    </row>
    <row r="34" spans="6:10" x14ac:dyDescent="0.2">
      <c r="F34">
        <v>32</v>
      </c>
      <c r="G34" s="7" t="s">
        <v>325</v>
      </c>
      <c r="H34" s="2" t="s">
        <v>325</v>
      </c>
      <c r="I34" s="1" t="s">
        <v>136</v>
      </c>
      <c r="J34" s="1" t="s">
        <v>354</v>
      </c>
    </row>
    <row r="35" spans="6:10" x14ac:dyDescent="0.2">
      <c r="F35">
        <v>33</v>
      </c>
      <c r="G35" s="7" t="s">
        <v>344</v>
      </c>
      <c r="H35" s="2" t="s">
        <v>344</v>
      </c>
      <c r="I35" s="1" t="s">
        <v>136</v>
      </c>
      <c r="J35" s="1" t="s">
        <v>354</v>
      </c>
    </row>
    <row r="36" spans="6:10" x14ac:dyDescent="0.2">
      <c r="F36">
        <v>34</v>
      </c>
      <c r="G36" s="7" t="s">
        <v>342</v>
      </c>
      <c r="H36" s="2" t="s">
        <v>342</v>
      </c>
      <c r="I36" s="1" t="s">
        <v>136</v>
      </c>
      <c r="J36" s="1" t="s">
        <v>354</v>
      </c>
    </row>
    <row r="37" spans="6:10" x14ac:dyDescent="0.2">
      <c r="F37">
        <v>35</v>
      </c>
      <c r="G37" s="7" t="s">
        <v>324</v>
      </c>
      <c r="H37" s="2" t="s">
        <v>324</v>
      </c>
      <c r="I37" s="1" t="s">
        <v>105</v>
      </c>
      <c r="J37" s="1" t="s">
        <v>354</v>
      </c>
    </row>
    <row r="38" spans="6:10" x14ac:dyDescent="0.2">
      <c r="F38">
        <v>36</v>
      </c>
      <c r="G38" s="7" t="s">
        <v>345</v>
      </c>
      <c r="H38" s="2" t="s">
        <v>345</v>
      </c>
      <c r="I38" s="1" t="s">
        <v>24</v>
      </c>
      <c r="J38" s="1" t="s">
        <v>354</v>
      </c>
    </row>
    <row r="39" spans="6:10" x14ac:dyDescent="0.2">
      <c r="F39">
        <v>37</v>
      </c>
      <c r="G39" s="7" t="s">
        <v>330</v>
      </c>
      <c r="H39" s="2" t="s">
        <v>330</v>
      </c>
      <c r="I39" s="1" t="s">
        <v>24</v>
      </c>
      <c r="J39" s="1" t="s">
        <v>354</v>
      </c>
    </row>
    <row r="40" spans="6:10" x14ac:dyDescent="0.2">
      <c r="F40">
        <v>38</v>
      </c>
      <c r="G40" s="7" t="s">
        <v>346</v>
      </c>
      <c r="H40" s="2" t="s">
        <v>346</v>
      </c>
      <c r="I40" s="1" t="s">
        <v>24</v>
      </c>
      <c r="J40" s="1" t="s">
        <v>354</v>
      </c>
    </row>
    <row r="41" spans="6:10" x14ac:dyDescent="0.2">
      <c r="F41">
        <v>39</v>
      </c>
      <c r="G41" s="7" t="s">
        <v>331</v>
      </c>
      <c r="H41" s="2" t="s">
        <v>331</v>
      </c>
      <c r="I41" s="1" t="s">
        <v>24</v>
      </c>
      <c r="J41" s="1" t="s">
        <v>354</v>
      </c>
    </row>
    <row r="42" spans="6:10" x14ac:dyDescent="0.2">
      <c r="F42">
        <v>40</v>
      </c>
      <c r="G42" s="7" t="s">
        <v>329</v>
      </c>
      <c r="H42" s="2" t="s">
        <v>329</v>
      </c>
      <c r="I42" s="1" t="s">
        <v>24</v>
      </c>
      <c r="J42" s="1" t="s">
        <v>354</v>
      </c>
    </row>
    <row r="43" spans="6:10" x14ac:dyDescent="0.2">
      <c r="F43">
        <v>41</v>
      </c>
      <c r="G43" s="7" t="s">
        <v>347</v>
      </c>
      <c r="H43" s="2" t="s">
        <v>347</v>
      </c>
      <c r="I43" s="1" t="s">
        <v>24</v>
      </c>
      <c r="J43" s="1" t="s">
        <v>354</v>
      </c>
    </row>
    <row r="44" spans="6:10" x14ac:dyDescent="0.2">
      <c r="F44">
        <v>42</v>
      </c>
      <c r="G44" s="7" t="s">
        <v>348</v>
      </c>
      <c r="H44" s="2" t="s">
        <v>348</v>
      </c>
      <c r="I44" s="1" t="s">
        <v>24</v>
      </c>
      <c r="J44" s="1" t="s">
        <v>354</v>
      </c>
    </row>
    <row r="45" spans="6:10" x14ac:dyDescent="0.2">
      <c r="F45">
        <v>43</v>
      </c>
      <c r="G45" s="7" t="s">
        <v>326</v>
      </c>
      <c r="H45" s="2" t="s">
        <v>326</v>
      </c>
      <c r="I45" s="1" t="s">
        <v>24</v>
      </c>
      <c r="J45" s="1" t="s">
        <v>354</v>
      </c>
    </row>
    <row r="46" spans="6:10" x14ac:dyDescent="0.2">
      <c r="F46">
        <v>44</v>
      </c>
      <c r="G46" s="7" t="s">
        <v>327</v>
      </c>
      <c r="H46" s="2" t="s">
        <v>327</v>
      </c>
      <c r="I46" s="1" t="s">
        <v>24</v>
      </c>
      <c r="J46" s="1" t="s">
        <v>354</v>
      </c>
    </row>
    <row r="47" spans="6:10" x14ac:dyDescent="0.2">
      <c r="F47">
        <v>45</v>
      </c>
      <c r="G47" s="7" t="s">
        <v>329</v>
      </c>
      <c r="H47" s="2" t="s">
        <v>329</v>
      </c>
      <c r="I47" s="1" t="s">
        <v>21</v>
      </c>
      <c r="J47" s="1" t="s">
        <v>354</v>
      </c>
    </row>
    <row r="48" spans="6:10" x14ac:dyDescent="0.2">
      <c r="F48">
        <v>46</v>
      </c>
      <c r="G48" s="7" t="s">
        <v>337</v>
      </c>
      <c r="H48" s="2" t="s">
        <v>337</v>
      </c>
      <c r="I48" s="1" t="s">
        <v>18</v>
      </c>
      <c r="J48" s="1" t="s">
        <v>354</v>
      </c>
    </row>
    <row r="49" spans="6:10" x14ac:dyDescent="0.2">
      <c r="F49">
        <v>47</v>
      </c>
      <c r="G49" s="7" t="s">
        <v>346</v>
      </c>
      <c r="H49" s="2" t="s">
        <v>346</v>
      </c>
      <c r="I49" s="1" t="s">
        <v>15</v>
      </c>
      <c r="J49" s="1" t="s">
        <v>354</v>
      </c>
    </row>
    <row r="50" spans="6:10" x14ac:dyDescent="0.2">
      <c r="F50">
        <v>48</v>
      </c>
      <c r="G50" s="7" t="s">
        <v>10</v>
      </c>
      <c r="H50" s="2" t="s">
        <v>10</v>
      </c>
      <c r="I50" s="1" t="s">
        <v>12</v>
      </c>
      <c r="J50" s="1" t="s">
        <v>354</v>
      </c>
    </row>
    <row r="51" spans="6:10" x14ac:dyDescent="0.2">
      <c r="F51">
        <v>49</v>
      </c>
      <c r="G51" s="7" t="s">
        <v>327</v>
      </c>
      <c r="H51" s="2" t="s">
        <v>327</v>
      </c>
      <c r="I51" s="1" t="s">
        <v>7</v>
      </c>
      <c r="J51" s="1" t="s">
        <v>354</v>
      </c>
    </row>
    <row r="52" spans="6:10" x14ac:dyDescent="0.2">
      <c r="F52">
        <v>50</v>
      </c>
      <c r="G52" s="7" t="s">
        <v>324</v>
      </c>
      <c r="H52" s="2" t="s">
        <v>324</v>
      </c>
      <c r="I52" s="1" t="s">
        <v>2</v>
      </c>
      <c r="J52" s="1" t="s">
        <v>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9513-46B6-43A4-B100-9C8A77C6DB2F}">
  <sheetPr>
    <tabColor rgb="FFFFFF00"/>
  </sheetPr>
  <dimension ref="A2:AB136"/>
  <sheetViews>
    <sheetView tabSelected="1" workbookViewId="0">
      <selection activeCell="A134" sqref="A134"/>
    </sheetView>
  </sheetViews>
  <sheetFormatPr baseColWidth="10" defaultRowHeight="12.75" x14ac:dyDescent="0.2"/>
  <cols>
    <col min="2" max="2" width="62.7109375" bestFit="1" customWidth="1"/>
    <col min="3" max="3" width="45.28515625" customWidth="1"/>
    <col min="6" max="6" width="35.140625" bestFit="1" customWidth="1"/>
    <col min="8" max="8" width="36" bestFit="1" customWidth="1"/>
  </cols>
  <sheetData>
    <row r="2" spans="1:28" x14ac:dyDescent="0.2">
      <c r="D2" t="s">
        <v>310</v>
      </c>
      <c r="E2" t="s">
        <v>363</v>
      </c>
      <c r="F2" t="s">
        <v>309</v>
      </c>
      <c r="G2" t="s">
        <v>364</v>
      </c>
      <c r="H2" t="s">
        <v>365</v>
      </c>
      <c r="I2" t="s">
        <v>366</v>
      </c>
      <c r="J2" t="s">
        <v>367</v>
      </c>
      <c r="K2" t="s">
        <v>368</v>
      </c>
      <c r="L2" t="s">
        <v>369</v>
      </c>
      <c r="M2" t="s">
        <v>370</v>
      </c>
      <c r="N2" t="s">
        <v>371</v>
      </c>
      <c r="O2" t="s">
        <v>372</v>
      </c>
      <c r="P2" t="s">
        <v>373</v>
      </c>
      <c r="Q2" t="s">
        <v>374</v>
      </c>
      <c r="R2" t="s">
        <v>375</v>
      </c>
      <c r="S2" t="s">
        <v>376</v>
      </c>
      <c r="T2" t="s">
        <v>377</v>
      </c>
      <c r="U2" t="s">
        <v>378</v>
      </c>
      <c r="V2" t="s">
        <v>379</v>
      </c>
      <c r="W2" t="s">
        <v>380</v>
      </c>
      <c r="X2" t="s">
        <v>381</v>
      </c>
      <c r="Y2" t="s">
        <v>382</v>
      </c>
      <c r="Z2" t="s">
        <v>383</v>
      </c>
      <c r="AA2" t="s">
        <v>384</v>
      </c>
      <c r="AB2" t="s">
        <v>385</v>
      </c>
    </row>
    <row r="3" spans="1:28" x14ac:dyDescent="0.2">
      <c r="A3" t="str">
        <f>VLOOKUP(E3,COTI!F:F,1,FALSE)</f>
        <v>77H</v>
      </c>
      <c r="D3" t="s">
        <v>304</v>
      </c>
      <c r="E3" t="s">
        <v>302</v>
      </c>
      <c r="F3" t="s">
        <v>303</v>
      </c>
      <c r="G3">
        <v>7</v>
      </c>
      <c r="H3" t="s">
        <v>386</v>
      </c>
      <c r="I3" t="s">
        <v>387</v>
      </c>
      <c r="J3">
        <v>20090505</v>
      </c>
      <c r="K3">
        <v>56</v>
      </c>
      <c r="L3" t="s">
        <v>388</v>
      </c>
      <c r="M3" t="s">
        <v>389</v>
      </c>
      <c r="N3" t="s">
        <v>390</v>
      </c>
      <c r="O3" t="s">
        <v>391</v>
      </c>
      <c r="P3" t="s">
        <v>392</v>
      </c>
      <c r="Q3">
        <v>20090505</v>
      </c>
      <c r="R3" t="s">
        <v>393</v>
      </c>
      <c r="S3" t="s">
        <v>394</v>
      </c>
      <c r="T3" t="s">
        <v>395</v>
      </c>
      <c r="U3" t="s">
        <v>395</v>
      </c>
      <c r="V3" t="s">
        <v>395</v>
      </c>
      <c r="W3" t="s">
        <v>395</v>
      </c>
      <c r="X3" t="s">
        <v>396</v>
      </c>
      <c r="Y3" t="s">
        <v>397</v>
      </c>
      <c r="Z3" t="s">
        <v>397</v>
      </c>
      <c r="AA3" t="s">
        <v>398</v>
      </c>
      <c r="AB3" t="s">
        <v>399</v>
      </c>
    </row>
    <row r="4" spans="1:28" x14ac:dyDescent="0.2">
      <c r="A4" t="str">
        <f>VLOOKUP(E4,COTI!F:F,1,FALSE)</f>
        <v>WDK</v>
      </c>
      <c r="D4" t="s">
        <v>301</v>
      </c>
      <c r="E4" t="s">
        <v>299</v>
      </c>
      <c r="F4" t="s">
        <v>300</v>
      </c>
      <c r="G4">
        <v>6</v>
      </c>
      <c r="H4" t="s">
        <v>400</v>
      </c>
      <c r="I4" t="s">
        <v>387</v>
      </c>
      <c r="J4">
        <v>20210621</v>
      </c>
      <c r="K4">
        <v>36</v>
      </c>
      <c r="L4" t="s">
        <v>388</v>
      </c>
      <c r="M4" t="s">
        <v>389</v>
      </c>
      <c r="N4" t="s">
        <v>390</v>
      </c>
      <c r="O4" t="s">
        <v>391</v>
      </c>
      <c r="P4" t="s">
        <v>392</v>
      </c>
      <c r="Q4">
        <v>20210621</v>
      </c>
      <c r="R4" t="s">
        <v>393</v>
      </c>
      <c r="S4" t="s">
        <v>395</v>
      </c>
      <c r="T4" t="s">
        <v>395</v>
      </c>
      <c r="U4" t="s">
        <v>395</v>
      </c>
      <c r="V4" t="s">
        <v>395</v>
      </c>
      <c r="W4" t="s">
        <v>401</v>
      </c>
      <c r="X4" t="s">
        <v>397</v>
      </c>
      <c r="Y4" t="s">
        <v>399</v>
      </c>
      <c r="Z4" t="s">
        <v>397</v>
      </c>
      <c r="AA4" t="s">
        <v>402</v>
      </c>
      <c r="AB4" t="s">
        <v>399</v>
      </c>
    </row>
    <row r="5" spans="1:28" x14ac:dyDescent="0.2">
      <c r="A5" t="str">
        <f>VLOOKUP(E5,COTI!F:F,1,FALSE)</f>
        <v>WLE</v>
      </c>
      <c r="D5" t="s">
        <v>298</v>
      </c>
      <c r="E5" t="s">
        <v>296</v>
      </c>
      <c r="F5" t="s">
        <v>297</v>
      </c>
      <c r="G5">
        <v>6</v>
      </c>
      <c r="H5" t="s">
        <v>403</v>
      </c>
      <c r="I5" t="s">
        <v>387</v>
      </c>
      <c r="J5">
        <v>20210805</v>
      </c>
      <c r="K5">
        <v>30</v>
      </c>
      <c r="L5" t="s">
        <v>388</v>
      </c>
      <c r="M5" t="s">
        <v>389</v>
      </c>
      <c r="N5" t="s">
        <v>390</v>
      </c>
      <c r="O5" t="s">
        <v>391</v>
      </c>
      <c r="P5" t="s">
        <v>392</v>
      </c>
      <c r="Q5">
        <v>20210805</v>
      </c>
      <c r="R5" t="s">
        <v>404</v>
      </c>
      <c r="S5" t="s">
        <v>395</v>
      </c>
      <c r="T5" t="s">
        <v>395</v>
      </c>
      <c r="U5" t="s">
        <v>395</v>
      </c>
      <c r="V5" t="s">
        <v>395</v>
      </c>
      <c r="W5" t="s">
        <v>405</v>
      </c>
      <c r="X5" t="s">
        <v>399</v>
      </c>
      <c r="Y5" t="s">
        <v>399</v>
      </c>
      <c r="Z5" t="s">
        <v>397</v>
      </c>
      <c r="AA5" t="s">
        <v>406</v>
      </c>
      <c r="AB5" t="s">
        <v>399</v>
      </c>
    </row>
    <row r="6" spans="1:28" x14ac:dyDescent="0.2">
      <c r="A6" t="str">
        <f>VLOOKUP(E6,COTI!F:F,1,FALSE)</f>
        <v>C3A</v>
      </c>
      <c r="D6" t="s">
        <v>283</v>
      </c>
      <c r="E6" t="s">
        <v>294</v>
      </c>
      <c r="F6" t="s">
        <v>295</v>
      </c>
      <c r="G6">
        <v>7</v>
      </c>
      <c r="H6" t="s">
        <v>407</v>
      </c>
      <c r="I6" t="s">
        <v>387</v>
      </c>
      <c r="J6">
        <v>20210730</v>
      </c>
      <c r="K6">
        <v>100</v>
      </c>
      <c r="L6" t="s">
        <v>388</v>
      </c>
      <c r="M6" t="s">
        <v>389</v>
      </c>
      <c r="N6" t="s">
        <v>390</v>
      </c>
      <c r="O6" t="s">
        <v>391</v>
      </c>
      <c r="P6" t="s">
        <v>392</v>
      </c>
      <c r="Q6">
        <v>20210730</v>
      </c>
      <c r="R6" t="s">
        <v>408</v>
      </c>
      <c r="S6" t="s">
        <v>395</v>
      </c>
      <c r="T6" t="s">
        <v>395</v>
      </c>
      <c r="U6" t="s">
        <v>395</v>
      </c>
      <c r="V6" t="s">
        <v>395</v>
      </c>
      <c r="W6" t="s">
        <v>409</v>
      </c>
      <c r="X6" t="s">
        <v>397</v>
      </c>
      <c r="Y6" t="s">
        <v>397</v>
      </c>
      <c r="Z6" t="s">
        <v>397</v>
      </c>
      <c r="AA6" t="s">
        <v>410</v>
      </c>
      <c r="AB6" t="s">
        <v>399</v>
      </c>
    </row>
    <row r="7" spans="1:28" x14ac:dyDescent="0.2">
      <c r="A7" t="str">
        <f>VLOOKUP(E7,COTI!F:F,1,FALSE)</f>
        <v>C3B</v>
      </c>
      <c r="D7" t="s">
        <v>283</v>
      </c>
      <c r="E7" t="s">
        <v>292</v>
      </c>
      <c r="F7" t="s">
        <v>293</v>
      </c>
      <c r="G7">
        <v>7</v>
      </c>
      <c r="H7" t="s">
        <v>407</v>
      </c>
      <c r="I7" t="s">
        <v>387</v>
      </c>
      <c r="J7">
        <v>20210730</v>
      </c>
      <c r="K7">
        <v>100</v>
      </c>
      <c r="L7" t="s">
        <v>388</v>
      </c>
      <c r="M7" t="s">
        <v>389</v>
      </c>
      <c r="N7" t="s">
        <v>390</v>
      </c>
      <c r="O7" t="s">
        <v>391</v>
      </c>
      <c r="P7" t="s">
        <v>392</v>
      </c>
      <c r="Q7">
        <v>20210730</v>
      </c>
      <c r="R7" t="s">
        <v>408</v>
      </c>
      <c r="S7" t="s">
        <v>395</v>
      </c>
      <c r="T7" t="s">
        <v>395</v>
      </c>
      <c r="U7" t="s">
        <v>395</v>
      </c>
      <c r="V7" t="s">
        <v>395</v>
      </c>
      <c r="W7" t="s">
        <v>411</v>
      </c>
      <c r="X7" t="s">
        <v>399</v>
      </c>
      <c r="Y7" t="s">
        <v>397</v>
      </c>
      <c r="Z7" t="s">
        <v>397</v>
      </c>
      <c r="AA7" t="s">
        <v>412</v>
      </c>
      <c r="AB7" t="s">
        <v>399</v>
      </c>
    </row>
    <row r="8" spans="1:28" x14ac:dyDescent="0.2">
      <c r="A8" t="str">
        <f>VLOOKUP(E8,COTI!F:F,1,FALSE)</f>
        <v>FW2</v>
      </c>
      <c r="D8" t="s">
        <v>283</v>
      </c>
      <c r="E8" t="s">
        <v>290</v>
      </c>
      <c r="F8" t="s">
        <v>291</v>
      </c>
      <c r="G8">
        <v>7</v>
      </c>
      <c r="H8" t="s">
        <v>407</v>
      </c>
      <c r="I8" t="s">
        <v>387</v>
      </c>
      <c r="J8">
        <v>20210730</v>
      </c>
      <c r="K8">
        <v>46</v>
      </c>
      <c r="L8" t="s">
        <v>388</v>
      </c>
      <c r="M8" t="s">
        <v>389</v>
      </c>
      <c r="N8" t="s">
        <v>390</v>
      </c>
      <c r="O8" t="s">
        <v>391</v>
      </c>
      <c r="P8" t="s">
        <v>392</v>
      </c>
      <c r="Q8">
        <v>20210730</v>
      </c>
      <c r="R8" t="s">
        <v>413</v>
      </c>
      <c r="S8" t="s">
        <v>395</v>
      </c>
      <c r="T8" t="s">
        <v>395</v>
      </c>
      <c r="U8" t="s">
        <v>395</v>
      </c>
      <c r="V8" t="s">
        <v>395</v>
      </c>
      <c r="W8" t="s">
        <v>414</v>
      </c>
      <c r="X8" t="s">
        <v>399</v>
      </c>
      <c r="Y8" t="s">
        <v>399</v>
      </c>
      <c r="Z8" t="s">
        <v>397</v>
      </c>
      <c r="AA8" t="s">
        <v>415</v>
      </c>
      <c r="AB8" t="s">
        <v>399</v>
      </c>
    </row>
    <row r="9" spans="1:28" x14ac:dyDescent="0.2">
      <c r="A9" t="str">
        <f>VLOOKUP(E9,COTI!F:F,1,FALSE)</f>
        <v>FWS</v>
      </c>
      <c r="D9" t="s">
        <v>283</v>
      </c>
      <c r="E9" t="s">
        <v>288</v>
      </c>
      <c r="F9" t="s">
        <v>289</v>
      </c>
      <c r="G9">
        <v>5</v>
      </c>
      <c r="H9" t="s">
        <v>407</v>
      </c>
      <c r="I9" t="s">
        <v>387</v>
      </c>
      <c r="J9">
        <v>20210730</v>
      </c>
      <c r="K9">
        <v>53</v>
      </c>
      <c r="L9" t="s">
        <v>388</v>
      </c>
      <c r="M9" t="s">
        <v>389</v>
      </c>
      <c r="N9" t="s">
        <v>390</v>
      </c>
      <c r="O9" t="s">
        <v>391</v>
      </c>
      <c r="P9" t="s">
        <v>392</v>
      </c>
      <c r="Q9">
        <v>20210730</v>
      </c>
      <c r="R9" t="s">
        <v>416</v>
      </c>
      <c r="S9" t="s">
        <v>395</v>
      </c>
      <c r="T9" t="s">
        <v>395</v>
      </c>
      <c r="U9" t="s">
        <v>395</v>
      </c>
      <c r="V9" t="s">
        <v>395</v>
      </c>
      <c r="W9" t="s">
        <v>417</v>
      </c>
      <c r="X9" t="s">
        <v>399</v>
      </c>
      <c r="Y9" t="s">
        <v>399</v>
      </c>
      <c r="Z9" t="s">
        <v>397</v>
      </c>
      <c r="AA9" t="s">
        <v>418</v>
      </c>
      <c r="AB9" t="s">
        <v>399</v>
      </c>
    </row>
    <row r="10" spans="1:28" x14ac:dyDescent="0.2">
      <c r="A10" t="str">
        <f>VLOOKUP(E10,COTI!F:F,1,FALSE)</f>
        <v>S3S</v>
      </c>
      <c r="D10" t="s">
        <v>283</v>
      </c>
      <c r="E10" t="s">
        <v>286</v>
      </c>
      <c r="F10" t="s">
        <v>287</v>
      </c>
      <c r="G10">
        <v>6</v>
      </c>
      <c r="H10" t="s">
        <v>407</v>
      </c>
      <c r="I10" t="s">
        <v>387</v>
      </c>
      <c r="J10">
        <v>20210730</v>
      </c>
      <c r="K10">
        <v>100</v>
      </c>
      <c r="L10" t="s">
        <v>388</v>
      </c>
      <c r="M10" t="s">
        <v>389</v>
      </c>
      <c r="N10" t="s">
        <v>390</v>
      </c>
      <c r="O10" t="s">
        <v>391</v>
      </c>
      <c r="P10" t="s">
        <v>392</v>
      </c>
      <c r="Q10">
        <v>20210730</v>
      </c>
      <c r="R10" t="s">
        <v>408</v>
      </c>
      <c r="S10" t="s">
        <v>395</v>
      </c>
      <c r="T10" t="s">
        <v>395</v>
      </c>
      <c r="U10" t="s">
        <v>395</v>
      </c>
      <c r="V10" t="s">
        <v>395</v>
      </c>
      <c r="W10" t="s">
        <v>419</v>
      </c>
      <c r="X10" t="s">
        <v>399</v>
      </c>
      <c r="Y10" t="s">
        <v>397</v>
      </c>
      <c r="Z10" t="s">
        <v>397</v>
      </c>
      <c r="AA10" t="s">
        <v>420</v>
      </c>
      <c r="AB10" t="s">
        <v>399</v>
      </c>
    </row>
    <row r="11" spans="1:28" x14ac:dyDescent="0.2">
      <c r="A11" t="str">
        <f>VLOOKUP(E11,COTI!F:F,1,FALSE)</f>
        <v>S3U</v>
      </c>
      <c r="D11" t="s">
        <v>283</v>
      </c>
      <c r="E11" t="s">
        <v>284</v>
      </c>
      <c r="F11" t="s">
        <v>285</v>
      </c>
      <c r="G11">
        <v>9</v>
      </c>
      <c r="H11" t="s">
        <v>407</v>
      </c>
      <c r="I11" t="s">
        <v>387</v>
      </c>
      <c r="J11">
        <v>20210730</v>
      </c>
      <c r="K11">
        <v>100</v>
      </c>
      <c r="L11" t="s">
        <v>388</v>
      </c>
      <c r="M11" t="s">
        <v>389</v>
      </c>
      <c r="N11" t="s">
        <v>390</v>
      </c>
      <c r="O11" t="s">
        <v>391</v>
      </c>
      <c r="P11" t="s">
        <v>392</v>
      </c>
      <c r="Q11">
        <v>20210730</v>
      </c>
      <c r="R11" t="s">
        <v>408</v>
      </c>
      <c r="S11" t="s">
        <v>395</v>
      </c>
      <c r="T11" t="s">
        <v>395</v>
      </c>
      <c r="U11" t="s">
        <v>395</v>
      </c>
      <c r="V11" t="s">
        <v>395</v>
      </c>
      <c r="W11" t="s">
        <v>421</v>
      </c>
      <c r="X11" t="s">
        <v>399</v>
      </c>
      <c r="Y11" t="s">
        <v>397</v>
      </c>
      <c r="Z11" t="s">
        <v>397</v>
      </c>
      <c r="AA11" t="s">
        <v>422</v>
      </c>
      <c r="AB11" t="s">
        <v>399</v>
      </c>
    </row>
    <row r="12" spans="1:28" x14ac:dyDescent="0.2">
      <c r="A12" t="str">
        <f>VLOOKUP(E12,COTI!F:F,1,FALSE)</f>
        <v>WS3</v>
      </c>
      <c r="D12" t="s">
        <v>283</v>
      </c>
      <c r="E12" t="s">
        <v>281</v>
      </c>
      <c r="F12" t="s">
        <v>282</v>
      </c>
      <c r="G12">
        <v>6</v>
      </c>
      <c r="H12" t="s">
        <v>423</v>
      </c>
      <c r="I12" t="s">
        <v>387</v>
      </c>
      <c r="J12">
        <v>20210816</v>
      </c>
      <c r="K12">
        <v>46</v>
      </c>
      <c r="L12" t="s">
        <v>388</v>
      </c>
      <c r="M12" t="s">
        <v>389</v>
      </c>
      <c r="N12" t="s">
        <v>390</v>
      </c>
      <c r="O12" t="s">
        <v>391</v>
      </c>
      <c r="P12" t="s">
        <v>392</v>
      </c>
      <c r="Q12">
        <v>20210816</v>
      </c>
      <c r="R12" t="s">
        <v>413</v>
      </c>
      <c r="S12" t="s">
        <v>395</v>
      </c>
      <c r="T12" t="s">
        <v>395</v>
      </c>
      <c r="U12" t="s">
        <v>395</v>
      </c>
      <c r="V12" t="s">
        <v>395</v>
      </c>
      <c r="W12" t="s">
        <v>424</v>
      </c>
      <c r="X12" t="s">
        <v>399</v>
      </c>
      <c r="Y12" t="s">
        <v>399</v>
      </c>
      <c r="Z12" t="s">
        <v>397</v>
      </c>
      <c r="AA12" t="s">
        <v>425</v>
      </c>
      <c r="AB12" t="s">
        <v>399</v>
      </c>
    </row>
    <row r="13" spans="1:28" x14ac:dyDescent="0.2">
      <c r="A13" t="str">
        <f>VLOOKUP(E13,COTI!F:F,1,FALSE)</f>
        <v>MCY</v>
      </c>
      <c r="D13" t="s">
        <v>280</v>
      </c>
      <c r="E13" t="s">
        <v>278</v>
      </c>
      <c r="F13" t="s">
        <v>279</v>
      </c>
      <c r="G13">
        <v>1</v>
      </c>
      <c r="H13" t="s">
        <v>426</v>
      </c>
      <c r="I13" t="s">
        <v>427</v>
      </c>
      <c r="J13">
        <v>20070418</v>
      </c>
      <c r="K13">
        <v>50</v>
      </c>
      <c r="L13" t="s">
        <v>388</v>
      </c>
      <c r="M13" t="s">
        <v>389</v>
      </c>
      <c r="N13" t="s">
        <v>390</v>
      </c>
      <c r="O13" t="s">
        <v>391</v>
      </c>
      <c r="P13" t="s">
        <v>392</v>
      </c>
      <c r="Q13">
        <v>20070418</v>
      </c>
      <c r="R13" t="s">
        <v>393</v>
      </c>
      <c r="S13" t="s">
        <v>428</v>
      </c>
      <c r="T13" t="s">
        <v>395</v>
      </c>
      <c r="U13" t="s">
        <v>395</v>
      </c>
      <c r="V13" t="s">
        <v>395</v>
      </c>
      <c r="W13" t="s">
        <v>395</v>
      </c>
      <c r="X13" t="s">
        <v>397</v>
      </c>
      <c r="Y13" t="s">
        <v>397</v>
      </c>
      <c r="Z13" t="s">
        <v>397</v>
      </c>
      <c r="AA13" t="s">
        <v>429</v>
      </c>
      <c r="AB13" t="s">
        <v>399</v>
      </c>
    </row>
    <row r="14" spans="1:28" x14ac:dyDescent="0.2">
      <c r="A14" t="str">
        <f>VLOOKUP(E14,COTI!F:F,1,FALSE)</f>
        <v>GAR</v>
      </c>
      <c r="D14" t="s">
        <v>277</v>
      </c>
      <c r="E14" t="s">
        <v>276</v>
      </c>
      <c r="F14" t="s">
        <v>267</v>
      </c>
      <c r="G14">
        <v>14</v>
      </c>
      <c r="H14" t="s">
        <v>430</v>
      </c>
      <c r="I14" t="s">
        <v>387</v>
      </c>
      <c r="J14">
        <v>20110914</v>
      </c>
      <c r="K14">
        <v>60</v>
      </c>
      <c r="L14" t="s">
        <v>431</v>
      </c>
      <c r="M14" t="s">
        <v>389</v>
      </c>
      <c r="N14" t="s">
        <v>390</v>
      </c>
      <c r="O14" t="s">
        <v>391</v>
      </c>
      <c r="P14" t="s">
        <v>392</v>
      </c>
      <c r="Q14">
        <v>20130718</v>
      </c>
      <c r="R14" t="s">
        <v>432</v>
      </c>
      <c r="S14" t="s">
        <v>433</v>
      </c>
      <c r="T14" t="s">
        <v>395</v>
      </c>
      <c r="U14" t="s">
        <v>395</v>
      </c>
      <c r="V14" t="s">
        <v>395</v>
      </c>
      <c r="W14" t="s">
        <v>395</v>
      </c>
      <c r="X14" t="s">
        <v>397</v>
      </c>
      <c r="Y14" t="s">
        <v>397</v>
      </c>
      <c r="Z14" t="s">
        <v>397</v>
      </c>
      <c r="AA14" t="s">
        <v>434</v>
      </c>
      <c r="AB14" t="s">
        <v>399</v>
      </c>
    </row>
    <row r="15" spans="1:28" x14ac:dyDescent="0.2">
      <c r="A15" t="str">
        <f>VLOOKUP(E15,COTI!F:F,1,FALSE)</f>
        <v>GR1</v>
      </c>
      <c r="D15" t="s">
        <v>273</v>
      </c>
      <c r="E15" t="s">
        <v>313</v>
      </c>
      <c r="F15" t="s">
        <v>317</v>
      </c>
      <c r="G15">
        <v>2</v>
      </c>
      <c r="H15" t="s">
        <v>435</v>
      </c>
      <c r="I15" t="s">
        <v>387</v>
      </c>
      <c r="J15">
        <v>20210713</v>
      </c>
      <c r="K15">
        <v>39</v>
      </c>
      <c r="L15" t="s">
        <v>388</v>
      </c>
      <c r="M15" t="s">
        <v>389</v>
      </c>
      <c r="N15" t="s">
        <v>390</v>
      </c>
      <c r="O15" t="s">
        <v>391</v>
      </c>
      <c r="P15" t="s">
        <v>392</v>
      </c>
      <c r="Q15">
        <v>20210713</v>
      </c>
      <c r="R15" t="s">
        <v>404</v>
      </c>
      <c r="S15" t="s">
        <v>395</v>
      </c>
      <c r="T15" t="s">
        <v>395</v>
      </c>
      <c r="U15" t="s">
        <v>395</v>
      </c>
      <c r="V15" t="s">
        <v>395</v>
      </c>
      <c r="W15" t="s">
        <v>436</v>
      </c>
      <c r="X15" t="s">
        <v>399</v>
      </c>
      <c r="Y15" t="s">
        <v>399</v>
      </c>
      <c r="Z15" t="s">
        <v>397</v>
      </c>
      <c r="AA15" t="s">
        <v>437</v>
      </c>
      <c r="AB15" t="s">
        <v>399</v>
      </c>
    </row>
    <row r="16" spans="1:28" x14ac:dyDescent="0.2">
      <c r="A16" t="str">
        <f>VLOOKUP(E16,COTI!F:F,1,FALSE)</f>
        <v>GR2</v>
      </c>
      <c r="D16" t="s">
        <v>273</v>
      </c>
      <c r="E16" t="s">
        <v>314</v>
      </c>
      <c r="F16" t="s">
        <v>318</v>
      </c>
      <c r="G16">
        <v>2</v>
      </c>
      <c r="H16" t="s">
        <v>438</v>
      </c>
      <c r="I16" t="s">
        <v>387</v>
      </c>
      <c r="J16">
        <v>20210805</v>
      </c>
      <c r="K16">
        <v>44</v>
      </c>
      <c r="L16" t="s">
        <v>388</v>
      </c>
      <c r="M16" t="s">
        <v>389</v>
      </c>
      <c r="N16" t="s">
        <v>390</v>
      </c>
      <c r="O16" t="s">
        <v>391</v>
      </c>
      <c r="P16" t="s">
        <v>392</v>
      </c>
      <c r="Q16">
        <v>20210805</v>
      </c>
      <c r="R16" t="s">
        <v>404</v>
      </c>
      <c r="S16" t="s">
        <v>395</v>
      </c>
      <c r="T16" t="s">
        <v>395</v>
      </c>
      <c r="U16" t="s">
        <v>395</v>
      </c>
      <c r="V16" t="s">
        <v>395</v>
      </c>
      <c r="W16" t="s">
        <v>439</v>
      </c>
      <c r="X16" t="s">
        <v>399</v>
      </c>
      <c r="Y16" t="s">
        <v>399</v>
      </c>
      <c r="Z16" t="s">
        <v>397</v>
      </c>
      <c r="AA16" t="s">
        <v>440</v>
      </c>
      <c r="AB16" t="s">
        <v>399</v>
      </c>
    </row>
    <row r="17" spans="1:28" x14ac:dyDescent="0.2">
      <c r="A17" t="str">
        <f>VLOOKUP(E17,COTI!F:F,1,FALSE)</f>
        <v>GRM</v>
      </c>
      <c r="D17" t="s">
        <v>273</v>
      </c>
      <c r="E17" t="s">
        <v>315</v>
      </c>
      <c r="F17" t="s">
        <v>319</v>
      </c>
      <c r="G17">
        <v>2</v>
      </c>
      <c r="H17" t="s">
        <v>441</v>
      </c>
      <c r="I17" t="s">
        <v>387</v>
      </c>
      <c r="J17">
        <v>20210805</v>
      </c>
      <c r="K17">
        <v>40</v>
      </c>
      <c r="L17" t="s">
        <v>388</v>
      </c>
      <c r="M17" t="s">
        <v>389</v>
      </c>
      <c r="N17" t="s">
        <v>390</v>
      </c>
      <c r="O17" t="s">
        <v>391</v>
      </c>
      <c r="P17" t="s">
        <v>392</v>
      </c>
      <c r="Q17">
        <v>20210805</v>
      </c>
      <c r="R17" t="s">
        <v>404</v>
      </c>
      <c r="S17" t="s">
        <v>395</v>
      </c>
      <c r="T17" t="s">
        <v>395</v>
      </c>
      <c r="U17" t="s">
        <v>395</v>
      </c>
      <c r="V17" t="s">
        <v>395</v>
      </c>
      <c r="W17" t="s">
        <v>442</v>
      </c>
      <c r="X17" t="s">
        <v>399</v>
      </c>
      <c r="Y17" t="s">
        <v>399</v>
      </c>
      <c r="Z17" t="s">
        <v>397</v>
      </c>
      <c r="AA17" t="s">
        <v>443</v>
      </c>
      <c r="AB17" t="s">
        <v>399</v>
      </c>
    </row>
    <row r="18" spans="1:28" s="12" customFormat="1" x14ac:dyDescent="0.2">
      <c r="A18" s="12" t="str">
        <f>VLOOKUP(E18,COTI!F:F,1,FALSE)</f>
        <v>GW2</v>
      </c>
      <c r="B18" s="12" t="s">
        <v>947</v>
      </c>
      <c r="C18" s="12" t="s">
        <v>948</v>
      </c>
      <c r="D18" s="12" t="s">
        <v>273</v>
      </c>
      <c r="E18" s="12" t="s">
        <v>274</v>
      </c>
      <c r="F18" s="12" t="s">
        <v>275</v>
      </c>
      <c r="G18" s="12">
        <v>2</v>
      </c>
      <c r="H18" s="12" t="s">
        <v>386</v>
      </c>
      <c r="I18" s="12" t="s">
        <v>387</v>
      </c>
      <c r="J18" s="12">
        <v>20200915</v>
      </c>
      <c r="K18" s="12">
        <v>39</v>
      </c>
      <c r="L18" s="12">
        <v>1</v>
      </c>
      <c r="M18" s="12" t="s">
        <v>389</v>
      </c>
      <c r="N18" s="12" t="s">
        <v>390</v>
      </c>
      <c r="O18" s="12" t="s">
        <v>391</v>
      </c>
      <c r="P18" s="12" t="s">
        <v>392</v>
      </c>
      <c r="Q18" s="12">
        <v>20200915</v>
      </c>
      <c r="R18" s="12">
        <v>4202020</v>
      </c>
      <c r="S18" s="12" t="s">
        <v>399</v>
      </c>
      <c r="T18" s="12" t="s">
        <v>399</v>
      </c>
      <c r="U18" s="12" t="s">
        <v>399</v>
      </c>
      <c r="V18" s="12" t="s">
        <v>399</v>
      </c>
      <c r="W18" s="12" t="s">
        <v>399</v>
      </c>
      <c r="X18" s="12" t="s">
        <v>396</v>
      </c>
      <c r="Y18" s="12" t="s">
        <v>397</v>
      </c>
      <c r="Z18" s="12" t="s">
        <v>397</v>
      </c>
      <c r="AA18" s="12" t="s">
        <v>444</v>
      </c>
      <c r="AB18" s="12" t="s">
        <v>399</v>
      </c>
    </row>
    <row r="19" spans="1:28" s="12" customFormat="1" x14ac:dyDescent="0.2">
      <c r="A19" s="12" t="str">
        <f>VLOOKUP(E19,COTI!F:F,1,FALSE)</f>
        <v>GWL</v>
      </c>
      <c r="B19" s="12" t="s">
        <v>947</v>
      </c>
      <c r="C19" s="12" t="s">
        <v>948</v>
      </c>
      <c r="D19" s="12" t="s">
        <v>273</v>
      </c>
      <c r="E19" s="12" t="s">
        <v>271</v>
      </c>
      <c r="F19" s="12" t="s">
        <v>272</v>
      </c>
      <c r="G19" s="12">
        <v>2</v>
      </c>
      <c r="H19" s="12" t="s">
        <v>386</v>
      </c>
      <c r="I19" s="12" t="s">
        <v>387</v>
      </c>
      <c r="J19" s="12">
        <v>20200915</v>
      </c>
      <c r="K19" s="12">
        <v>40</v>
      </c>
      <c r="L19" s="12">
        <v>1</v>
      </c>
      <c r="M19" s="12" t="s">
        <v>389</v>
      </c>
      <c r="N19" s="12" t="s">
        <v>390</v>
      </c>
      <c r="O19" s="12" t="s">
        <v>391</v>
      </c>
      <c r="P19" s="12" t="s">
        <v>392</v>
      </c>
      <c r="Q19" s="12">
        <v>20200915</v>
      </c>
      <c r="R19" s="12" t="s">
        <v>445</v>
      </c>
      <c r="S19" s="12" t="s">
        <v>399</v>
      </c>
      <c r="T19" s="12" t="s">
        <v>399</v>
      </c>
      <c r="U19" s="12" t="s">
        <v>399</v>
      </c>
      <c r="V19" s="12" t="s">
        <v>399</v>
      </c>
      <c r="W19" s="12" t="s">
        <v>399</v>
      </c>
      <c r="X19" s="12" t="s">
        <v>397</v>
      </c>
      <c r="Y19" s="12" t="s">
        <v>397</v>
      </c>
      <c r="Z19" s="12" t="s">
        <v>397</v>
      </c>
      <c r="AA19" s="12" t="s">
        <v>446</v>
      </c>
      <c r="AB19" s="12" t="s">
        <v>399</v>
      </c>
    </row>
    <row r="20" spans="1:28" x14ac:dyDescent="0.2">
      <c r="A20" t="str">
        <f>VLOOKUP(E20,COTI!F:F,1,FALSE)</f>
        <v>GWS</v>
      </c>
      <c r="B20" t="s">
        <v>946</v>
      </c>
      <c r="C20" t="s">
        <v>948</v>
      </c>
      <c r="D20" t="s">
        <v>273</v>
      </c>
      <c r="E20" t="s">
        <v>316</v>
      </c>
      <c r="F20" t="s">
        <v>320</v>
      </c>
      <c r="G20">
        <v>2</v>
      </c>
      <c r="H20" t="s">
        <v>447</v>
      </c>
      <c r="I20" t="s">
        <v>387</v>
      </c>
      <c r="J20">
        <v>20210223</v>
      </c>
      <c r="K20">
        <v>44</v>
      </c>
      <c r="L20" t="s">
        <v>388</v>
      </c>
      <c r="M20" t="s">
        <v>389</v>
      </c>
      <c r="N20" t="s">
        <v>390</v>
      </c>
      <c r="O20" t="s">
        <v>391</v>
      </c>
      <c r="P20" t="s">
        <v>392</v>
      </c>
      <c r="Q20">
        <v>20210223</v>
      </c>
      <c r="R20" t="s">
        <v>393</v>
      </c>
      <c r="S20" t="s">
        <v>395</v>
      </c>
      <c r="T20" t="s">
        <v>395</v>
      </c>
      <c r="U20" t="s">
        <v>395</v>
      </c>
      <c r="V20" t="s">
        <v>395</v>
      </c>
      <c r="W20" t="s">
        <v>448</v>
      </c>
      <c r="X20" t="s">
        <v>397</v>
      </c>
      <c r="Y20" t="s">
        <v>397</v>
      </c>
      <c r="Z20" t="s">
        <v>397</v>
      </c>
      <c r="AA20" t="s">
        <v>449</v>
      </c>
      <c r="AB20" t="s">
        <v>399</v>
      </c>
    </row>
    <row r="21" spans="1:28" s="14" customFormat="1" ht="15" x14ac:dyDescent="0.25">
      <c r="A21" s="14">
        <f>VLOOKUP(E21,COTI!F:F,1,FALSE)</f>
        <v>193</v>
      </c>
      <c r="D21" s="14" t="s">
        <v>235</v>
      </c>
      <c r="E21" s="14">
        <v>193</v>
      </c>
      <c r="F21" s="14" t="s">
        <v>270</v>
      </c>
      <c r="G21" s="14">
        <v>12</v>
      </c>
      <c r="H21" s="14" t="s">
        <v>450</v>
      </c>
      <c r="I21" s="14" t="s">
        <v>387</v>
      </c>
      <c r="J21" s="14">
        <v>20080103</v>
      </c>
      <c r="K21" s="14">
        <v>58</v>
      </c>
      <c r="L21" s="14" t="s">
        <v>388</v>
      </c>
      <c r="M21" s="14" t="s">
        <v>389</v>
      </c>
      <c r="N21" s="14" t="s">
        <v>390</v>
      </c>
      <c r="O21" s="14" t="s">
        <v>391</v>
      </c>
      <c r="P21" s="14" t="s">
        <v>392</v>
      </c>
      <c r="Q21" s="14">
        <v>20080103</v>
      </c>
      <c r="R21" s="14" t="s">
        <v>393</v>
      </c>
      <c r="S21" s="14" t="s">
        <v>451</v>
      </c>
      <c r="T21" s="14" t="s">
        <v>395</v>
      </c>
      <c r="U21" s="14" t="s">
        <v>395</v>
      </c>
      <c r="V21" s="14" t="s">
        <v>395</v>
      </c>
      <c r="W21" s="14" t="s">
        <v>395</v>
      </c>
      <c r="X21" s="14" t="s">
        <v>397</v>
      </c>
      <c r="Y21" s="14" t="s">
        <v>397</v>
      </c>
      <c r="Z21" s="14" t="s">
        <v>397</v>
      </c>
      <c r="AA21" s="14">
        <v>1930011</v>
      </c>
      <c r="AB21" s="14" t="s">
        <v>399</v>
      </c>
    </row>
    <row r="22" spans="1:28" s="14" customFormat="1" ht="15" x14ac:dyDescent="0.25">
      <c r="A22" s="14" t="str">
        <f>VLOOKUP(E22,COTI!F:F,1,FALSE)</f>
        <v>87C</v>
      </c>
      <c r="D22" s="14" t="s">
        <v>235</v>
      </c>
      <c r="E22" s="14" t="s">
        <v>269</v>
      </c>
      <c r="F22" s="14" t="s">
        <v>99</v>
      </c>
      <c r="G22" s="14">
        <v>7</v>
      </c>
      <c r="H22" s="14" t="s">
        <v>386</v>
      </c>
      <c r="I22" s="14" t="s">
        <v>387</v>
      </c>
      <c r="J22" s="14">
        <v>20080821</v>
      </c>
      <c r="K22" s="14">
        <v>62</v>
      </c>
      <c r="L22" s="14" t="s">
        <v>431</v>
      </c>
      <c r="M22" s="14" t="s">
        <v>389</v>
      </c>
      <c r="N22" s="14" t="s">
        <v>390</v>
      </c>
      <c r="O22" s="14" t="s">
        <v>391</v>
      </c>
      <c r="P22" s="14" t="s">
        <v>392</v>
      </c>
      <c r="Q22" s="14">
        <v>20080821</v>
      </c>
      <c r="R22" s="14" t="s">
        <v>432</v>
      </c>
      <c r="S22" s="14" t="s">
        <v>395</v>
      </c>
      <c r="T22" s="14" t="s">
        <v>395</v>
      </c>
      <c r="U22" s="14" t="s">
        <v>395</v>
      </c>
      <c r="V22" s="14" t="s">
        <v>395</v>
      </c>
      <c r="W22" s="14" t="s">
        <v>395</v>
      </c>
      <c r="X22" s="14" t="s">
        <v>396</v>
      </c>
      <c r="Y22" s="14" t="s">
        <v>397</v>
      </c>
      <c r="Z22" s="14" t="s">
        <v>397</v>
      </c>
      <c r="AA22" s="14" t="s">
        <v>452</v>
      </c>
      <c r="AB22" s="14" t="s">
        <v>399</v>
      </c>
    </row>
    <row r="23" spans="1:28" s="14" customFormat="1" ht="15" x14ac:dyDescent="0.25">
      <c r="A23" s="14" t="str">
        <f>VLOOKUP(E23,COTI!F:F,1,FALSE)</f>
        <v>87P</v>
      </c>
      <c r="D23" s="14" t="s">
        <v>235</v>
      </c>
      <c r="E23" s="14" t="s">
        <v>268</v>
      </c>
      <c r="F23" s="14" t="s">
        <v>102</v>
      </c>
      <c r="G23" s="14">
        <v>6</v>
      </c>
      <c r="H23" s="14" t="s">
        <v>453</v>
      </c>
      <c r="I23" s="14" t="s">
        <v>387</v>
      </c>
      <c r="J23" s="14">
        <v>20080121</v>
      </c>
      <c r="K23" s="14">
        <v>62</v>
      </c>
      <c r="L23" s="14" t="s">
        <v>431</v>
      </c>
      <c r="M23" s="14" t="s">
        <v>389</v>
      </c>
      <c r="N23" s="14" t="s">
        <v>390</v>
      </c>
      <c r="O23" s="14" t="s">
        <v>391</v>
      </c>
      <c r="P23" s="14" t="s">
        <v>392</v>
      </c>
      <c r="Q23" s="14">
        <v>20080121</v>
      </c>
      <c r="R23" s="14" t="s">
        <v>432</v>
      </c>
      <c r="S23" s="14" t="s">
        <v>454</v>
      </c>
      <c r="T23" s="14" t="s">
        <v>395</v>
      </c>
      <c r="U23" s="14" t="s">
        <v>395</v>
      </c>
      <c r="V23" s="14" t="s">
        <v>395</v>
      </c>
      <c r="W23" s="14" t="s">
        <v>395</v>
      </c>
      <c r="X23" s="14" t="s">
        <v>397</v>
      </c>
      <c r="Y23" s="14" t="s">
        <v>397</v>
      </c>
      <c r="Z23" s="14" t="s">
        <v>397</v>
      </c>
      <c r="AA23" s="14" t="s">
        <v>455</v>
      </c>
      <c r="AB23" s="14" t="s">
        <v>399</v>
      </c>
    </row>
    <row r="24" spans="1:28" s="14" customFormat="1" ht="15" x14ac:dyDescent="0.25">
      <c r="A24" s="14" t="str">
        <f>VLOOKUP(E24,COTI!F:F,1,FALSE)</f>
        <v>88L</v>
      </c>
      <c r="D24" s="14" t="s">
        <v>235</v>
      </c>
      <c r="E24" s="14" t="s">
        <v>264</v>
      </c>
      <c r="F24" s="14" t="s">
        <v>95</v>
      </c>
      <c r="G24" s="14">
        <v>4</v>
      </c>
      <c r="H24" s="14" t="s">
        <v>456</v>
      </c>
      <c r="I24" s="14" t="s">
        <v>387</v>
      </c>
      <c r="J24" s="14">
        <v>20080314</v>
      </c>
      <c r="K24" s="14">
        <v>62</v>
      </c>
      <c r="L24" s="14" t="s">
        <v>388</v>
      </c>
      <c r="M24" s="14" t="s">
        <v>389</v>
      </c>
      <c r="N24" s="14" t="s">
        <v>390</v>
      </c>
      <c r="O24" s="14" t="s">
        <v>391</v>
      </c>
      <c r="P24" s="14" t="s">
        <v>392</v>
      </c>
      <c r="Q24" s="14">
        <v>20080314</v>
      </c>
      <c r="R24" s="14" t="s">
        <v>393</v>
      </c>
      <c r="S24" s="14" t="s">
        <v>457</v>
      </c>
      <c r="T24" s="14" t="s">
        <v>395</v>
      </c>
      <c r="U24" s="14" t="s">
        <v>395</v>
      </c>
      <c r="V24" s="14" t="s">
        <v>395</v>
      </c>
      <c r="W24" s="14" t="s">
        <v>395</v>
      </c>
      <c r="X24" s="14" t="s">
        <v>397</v>
      </c>
      <c r="Y24" s="14" t="s">
        <v>397</v>
      </c>
      <c r="Z24" s="14" t="s">
        <v>397</v>
      </c>
      <c r="AA24" s="14" t="s">
        <v>458</v>
      </c>
      <c r="AB24" s="14" t="s">
        <v>399</v>
      </c>
    </row>
    <row r="25" spans="1:28" s="14" customFormat="1" ht="15" x14ac:dyDescent="0.25">
      <c r="A25" s="14" t="str">
        <f>VLOOKUP(E25,COTI!F:F,1,FALSE)</f>
        <v>GM1</v>
      </c>
      <c r="D25" s="14" t="s">
        <v>235</v>
      </c>
      <c r="E25" s="14" t="s">
        <v>262</v>
      </c>
      <c r="F25" s="14" t="s">
        <v>263</v>
      </c>
      <c r="G25" s="14">
        <v>10</v>
      </c>
      <c r="H25" s="14" t="s">
        <v>386</v>
      </c>
      <c r="I25" s="14" t="s">
        <v>387</v>
      </c>
      <c r="J25" s="14">
        <v>20080103</v>
      </c>
      <c r="K25" s="14">
        <v>60</v>
      </c>
      <c r="L25" s="14" t="s">
        <v>431</v>
      </c>
      <c r="M25" s="14" t="s">
        <v>389</v>
      </c>
      <c r="N25" s="14" t="s">
        <v>390</v>
      </c>
      <c r="O25" s="14" t="s">
        <v>391</v>
      </c>
      <c r="P25" s="14" t="s">
        <v>392</v>
      </c>
      <c r="Q25" s="14">
        <v>20080103</v>
      </c>
      <c r="R25" s="14" t="s">
        <v>432</v>
      </c>
      <c r="S25" s="14" t="s">
        <v>459</v>
      </c>
      <c r="T25" s="14" t="s">
        <v>395</v>
      </c>
      <c r="U25" s="14" t="s">
        <v>395</v>
      </c>
      <c r="V25" s="14" t="s">
        <v>395</v>
      </c>
      <c r="W25" s="14" t="s">
        <v>395</v>
      </c>
      <c r="X25" s="14" t="s">
        <v>397</v>
      </c>
      <c r="Y25" s="14" t="s">
        <v>397</v>
      </c>
      <c r="Z25" s="14" t="s">
        <v>397</v>
      </c>
      <c r="AA25" s="14" t="s">
        <v>460</v>
      </c>
      <c r="AB25" s="14" t="s">
        <v>399</v>
      </c>
    </row>
    <row r="26" spans="1:28" s="14" customFormat="1" ht="15" x14ac:dyDescent="0.25">
      <c r="A26" s="14" t="str">
        <f>VLOOKUP(E26,COTI!F:F,1,FALSE)</f>
        <v>GM2</v>
      </c>
      <c r="D26" s="14" t="s">
        <v>235</v>
      </c>
      <c r="E26" s="14" t="s">
        <v>260</v>
      </c>
      <c r="F26" s="14" t="s">
        <v>261</v>
      </c>
      <c r="G26" s="14">
        <v>7</v>
      </c>
      <c r="H26" s="14" t="s">
        <v>450</v>
      </c>
      <c r="I26" s="14" t="s">
        <v>387</v>
      </c>
      <c r="J26" s="14">
        <v>20080103</v>
      </c>
      <c r="K26" s="14">
        <v>60</v>
      </c>
      <c r="L26" s="14" t="s">
        <v>388</v>
      </c>
      <c r="M26" s="14" t="s">
        <v>389</v>
      </c>
      <c r="N26" s="14" t="s">
        <v>390</v>
      </c>
      <c r="O26" s="14" t="s">
        <v>391</v>
      </c>
      <c r="P26" s="14" t="s">
        <v>392</v>
      </c>
      <c r="Q26" s="14">
        <v>20080103</v>
      </c>
      <c r="R26" s="14" t="s">
        <v>393</v>
      </c>
      <c r="S26" s="14" t="s">
        <v>461</v>
      </c>
      <c r="T26" s="14" t="s">
        <v>395</v>
      </c>
      <c r="U26" s="14" t="s">
        <v>395</v>
      </c>
      <c r="V26" s="14" t="s">
        <v>395</v>
      </c>
      <c r="W26" s="14" t="s">
        <v>395</v>
      </c>
      <c r="X26" s="14" t="s">
        <v>397</v>
      </c>
      <c r="Y26" s="14" t="s">
        <v>397</v>
      </c>
      <c r="Z26" s="14" t="s">
        <v>397</v>
      </c>
      <c r="AA26" s="14" t="s">
        <v>462</v>
      </c>
      <c r="AB26" s="14" t="s">
        <v>399</v>
      </c>
    </row>
    <row r="27" spans="1:28" s="14" customFormat="1" ht="15" x14ac:dyDescent="0.25">
      <c r="A27" s="14" t="str">
        <f>VLOOKUP(E27,COTI!F:F,1,FALSE)</f>
        <v>GM3</v>
      </c>
      <c r="D27" s="14" t="s">
        <v>235</v>
      </c>
      <c r="E27" s="14" t="s">
        <v>259</v>
      </c>
      <c r="F27" s="14" t="s">
        <v>230</v>
      </c>
      <c r="G27" s="14">
        <v>2</v>
      </c>
      <c r="H27" s="14" t="s">
        <v>386</v>
      </c>
      <c r="I27" s="14" t="s">
        <v>387</v>
      </c>
      <c r="J27" s="14">
        <v>20060905</v>
      </c>
      <c r="K27" s="14">
        <v>60</v>
      </c>
      <c r="L27" s="14" t="s">
        <v>388</v>
      </c>
      <c r="M27" s="14" t="s">
        <v>389</v>
      </c>
      <c r="N27" s="14" t="s">
        <v>390</v>
      </c>
      <c r="O27" s="14" t="s">
        <v>391</v>
      </c>
      <c r="P27" s="14" t="s">
        <v>392</v>
      </c>
      <c r="Q27" s="14">
        <v>20060905</v>
      </c>
      <c r="R27" s="14" t="s">
        <v>393</v>
      </c>
      <c r="S27" s="14" t="s">
        <v>463</v>
      </c>
      <c r="T27" s="14" t="s">
        <v>395</v>
      </c>
      <c r="U27" s="14" t="s">
        <v>395</v>
      </c>
      <c r="V27" s="14" t="s">
        <v>395</v>
      </c>
      <c r="W27" s="14" t="s">
        <v>395</v>
      </c>
      <c r="X27" s="14" t="s">
        <v>397</v>
      </c>
      <c r="Y27" s="14" t="s">
        <v>397</v>
      </c>
      <c r="Z27" s="14" t="s">
        <v>397</v>
      </c>
      <c r="AA27" s="14" t="s">
        <v>464</v>
      </c>
      <c r="AB27" s="14" t="s">
        <v>399</v>
      </c>
    </row>
    <row r="28" spans="1:28" s="14" customFormat="1" ht="15" x14ac:dyDescent="0.25">
      <c r="A28" s="14" t="str">
        <f>VLOOKUP(E28,COTI!F:F,1,FALSE)</f>
        <v>GXP</v>
      </c>
      <c r="D28" s="14" t="s">
        <v>235</v>
      </c>
      <c r="E28" s="14" t="s">
        <v>258</v>
      </c>
      <c r="F28" s="14" t="s">
        <v>225</v>
      </c>
      <c r="G28" s="14">
        <v>4</v>
      </c>
      <c r="H28" s="14" t="s">
        <v>450</v>
      </c>
      <c r="I28" s="14" t="s">
        <v>387</v>
      </c>
      <c r="J28" s="14">
        <v>20080103</v>
      </c>
      <c r="K28" s="14">
        <v>59</v>
      </c>
      <c r="L28" s="14" t="s">
        <v>388</v>
      </c>
      <c r="M28" s="14" t="s">
        <v>389</v>
      </c>
      <c r="N28" s="14" t="s">
        <v>390</v>
      </c>
      <c r="O28" s="14" t="s">
        <v>391</v>
      </c>
      <c r="P28" s="14" t="s">
        <v>392</v>
      </c>
      <c r="Q28" s="14">
        <v>20080103</v>
      </c>
      <c r="R28" s="14" t="s">
        <v>393</v>
      </c>
      <c r="S28" s="14" t="s">
        <v>465</v>
      </c>
      <c r="T28" s="14" t="s">
        <v>395</v>
      </c>
      <c r="U28" s="14" t="s">
        <v>395</v>
      </c>
      <c r="V28" s="14" t="s">
        <v>395</v>
      </c>
      <c r="W28" s="14" t="s">
        <v>395</v>
      </c>
      <c r="X28" s="14" t="s">
        <v>397</v>
      </c>
      <c r="Y28" s="14" t="s">
        <v>397</v>
      </c>
      <c r="Z28" s="14" t="s">
        <v>397</v>
      </c>
      <c r="AA28" s="14" t="s">
        <v>466</v>
      </c>
      <c r="AB28" s="14" t="s">
        <v>399</v>
      </c>
    </row>
    <row r="29" spans="1:28" s="14" customFormat="1" ht="15" x14ac:dyDescent="0.25">
      <c r="A29" s="14" t="str">
        <f>VLOOKUP(E29,COTI!F:F,1,FALSE)</f>
        <v>JJT</v>
      </c>
      <c r="D29" s="14" t="s">
        <v>235</v>
      </c>
      <c r="E29" s="14" t="s">
        <v>256</v>
      </c>
      <c r="F29" s="14" t="s">
        <v>257</v>
      </c>
      <c r="G29" s="14">
        <v>17</v>
      </c>
      <c r="H29" s="14" t="s">
        <v>386</v>
      </c>
      <c r="I29" s="14" t="s">
        <v>387</v>
      </c>
      <c r="J29" s="14">
        <v>20210625</v>
      </c>
      <c r="K29" s="14">
        <v>57</v>
      </c>
      <c r="L29" s="14" t="s">
        <v>467</v>
      </c>
      <c r="M29" s="14" t="s">
        <v>389</v>
      </c>
      <c r="N29" s="14" t="s">
        <v>390</v>
      </c>
      <c r="O29" s="14" t="s">
        <v>391</v>
      </c>
      <c r="P29" s="14" t="s">
        <v>392</v>
      </c>
      <c r="Q29" s="14">
        <v>20210625</v>
      </c>
      <c r="R29" s="14">
        <v>1012021</v>
      </c>
      <c r="S29" s="14" t="s">
        <v>399</v>
      </c>
      <c r="T29" s="14" t="s">
        <v>399</v>
      </c>
      <c r="U29" s="14" t="s">
        <v>399</v>
      </c>
      <c r="V29" s="14" t="s">
        <v>399</v>
      </c>
      <c r="W29" s="14" t="s">
        <v>399</v>
      </c>
      <c r="X29" s="14" t="s">
        <v>397</v>
      </c>
      <c r="Y29" s="14" t="s">
        <v>397</v>
      </c>
      <c r="Z29" s="14" t="s">
        <v>397</v>
      </c>
      <c r="AA29" s="14" t="s">
        <v>468</v>
      </c>
      <c r="AB29" s="14" t="s">
        <v>399</v>
      </c>
    </row>
    <row r="30" spans="1:28" s="14" customFormat="1" ht="15" x14ac:dyDescent="0.25">
      <c r="A30" s="14" t="str">
        <f>VLOOKUP(E30,COTI!F:F,1,FALSE)</f>
        <v>JLI</v>
      </c>
      <c r="D30" s="14" t="s">
        <v>235</v>
      </c>
      <c r="E30" s="14" t="s">
        <v>254</v>
      </c>
      <c r="F30" s="14" t="s">
        <v>255</v>
      </c>
      <c r="G30" s="14">
        <v>51</v>
      </c>
      <c r="H30" s="14" t="s">
        <v>386</v>
      </c>
      <c r="I30" s="14" t="s">
        <v>387</v>
      </c>
      <c r="J30" s="14">
        <v>20210622</v>
      </c>
      <c r="K30" s="14">
        <v>57</v>
      </c>
      <c r="L30" s="14" t="s">
        <v>467</v>
      </c>
      <c r="M30" s="14" t="s">
        <v>389</v>
      </c>
      <c r="N30" s="14" t="s">
        <v>390</v>
      </c>
      <c r="O30" s="14" t="s">
        <v>391</v>
      </c>
      <c r="P30" s="14" t="s">
        <v>392</v>
      </c>
      <c r="Q30" s="14">
        <v>20210622</v>
      </c>
      <c r="R30" s="14" t="s">
        <v>445</v>
      </c>
      <c r="S30" s="14" t="s">
        <v>399</v>
      </c>
      <c r="T30" s="14" t="s">
        <v>399</v>
      </c>
      <c r="U30" s="14" t="s">
        <v>399</v>
      </c>
      <c r="V30" s="14" t="s">
        <v>399</v>
      </c>
      <c r="W30" s="14" t="s">
        <v>399</v>
      </c>
      <c r="X30" s="14" t="s">
        <v>396</v>
      </c>
      <c r="Y30" s="14" t="s">
        <v>397</v>
      </c>
      <c r="Z30" s="14" t="s">
        <v>397</v>
      </c>
      <c r="AA30" s="14" t="s">
        <v>469</v>
      </c>
      <c r="AB30" s="14" t="s">
        <v>399</v>
      </c>
    </row>
    <row r="31" spans="1:28" s="14" customFormat="1" ht="15" x14ac:dyDescent="0.25">
      <c r="A31" s="14" t="str">
        <f>VLOOKUP(E31,COTI!F:F,1,FALSE)</f>
        <v>JPH</v>
      </c>
      <c r="D31" s="14" t="s">
        <v>235</v>
      </c>
      <c r="E31" s="14" t="s">
        <v>252</v>
      </c>
      <c r="F31" s="14" t="s">
        <v>253</v>
      </c>
      <c r="G31" s="14">
        <v>8</v>
      </c>
      <c r="H31" s="14" t="s">
        <v>386</v>
      </c>
      <c r="I31" s="14" t="s">
        <v>387</v>
      </c>
      <c r="J31" s="14">
        <v>20210623</v>
      </c>
      <c r="K31" s="14">
        <v>57</v>
      </c>
      <c r="L31" s="14" t="s">
        <v>467</v>
      </c>
      <c r="M31" s="14" t="s">
        <v>389</v>
      </c>
      <c r="N31" s="14" t="s">
        <v>390</v>
      </c>
      <c r="O31" s="14" t="s">
        <v>391</v>
      </c>
      <c r="P31" s="14" t="s">
        <v>392</v>
      </c>
      <c r="Q31" s="14">
        <v>20210623</v>
      </c>
      <c r="R31" s="14">
        <v>121719</v>
      </c>
      <c r="S31" s="14" t="s">
        <v>399</v>
      </c>
      <c r="T31" s="14" t="s">
        <v>399</v>
      </c>
      <c r="U31" s="14" t="s">
        <v>399</v>
      </c>
      <c r="V31" s="14" t="s">
        <v>399</v>
      </c>
      <c r="W31" s="14" t="s">
        <v>399</v>
      </c>
      <c r="X31" s="14" t="s">
        <v>397</v>
      </c>
      <c r="Y31" s="14" t="s">
        <v>397</v>
      </c>
      <c r="Z31" s="14" t="s">
        <v>397</v>
      </c>
      <c r="AA31" s="14" t="s">
        <v>470</v>
      </c>
      <c r="AB31" s="14" t="s">
        <v>399</v>
      </c>
    </row>
    <row r="32" spans="1:28" s="14" customFormat="1" ht="15" x14ac:dyDescent="0.25">
      <c r="A32" s="14" t="str">
        <f>VLOOKUP(E32,COTI!F:F,1,FALSE)</f>
        <v>JPS</v>
      </c>
      <c r="D32" s="14" t="s">
        <v>235</v>
      </c>
      <c r="E32" s="14" t="s">
        <v>250</v>
      </c>
      <c r="F32" s="14" t="s">
        <v>251</v>
      </c>
      <c r="G32" s="14">
        <v>5</v>
      </c>
      <c r="H32" s="14" t="s">
        <v>386</v>
      </c>
      <c r="I32" s="14" t="s">
        <v>387</v>
      </c>
      <c r="J32" s="14">
        <v>20210628</v>
      </c>
      <c r="K32" s="14">
        <v>49</v>
      </c>
      <c r="L32" s="14" t="s">
        <v>467</v>
      </c>
      <c r="M32" s="14" t="s">
        <v>389</v>
      </c>
      <c r="N32" s="14" t="s">
        <v>390</v>
      </c>
      <c r="O32" s="14" t="s">
        <v>391</v>
      </c>
      <c r="P32" s="14" t="s">
        <v>392</v>
      </c>
      <c r="Q32" s="14">
        <v>20210628</v>
      </c>
      <c r="R32" s="14">
        <v>121819</v>
      </c>
      <c r="S32" s="14" t="s">
        <v>399</v>
      </c>
      <c r="T32" s="14" t="s">
        <v>399</v>
      </c>
      <c r="U32" s="14" t="s">
        <v>399</v>
      </c>
      <c r="V32" s="14" t="s">
        <v>399</v>
      </c>
      <c r="W32" s="14" t="s">
        <v>399</v>
      </c>
      <c r="X32" s="14" t="s">
        <v>397</v>
      </c>
      <c r="Y32" s="14" t="s">
        <v>397</v>
      </c>
      <c r="Z32" s="14" t="s">
        <v>397</v>
      </c>
      <c r="AA32" s="14" t="s">
        <v>471</v>
      </c>
      <c r="AB32" s="14" t="s">
        <v>399</v>
      </c>
    </row>
    <row r="33" spans="1:28" s="14" customFormat="1" ht="15" x14ac:dyDescent="0.25">
      <c r="A33" s="14" t="str">
        <f>VLOOKUP(E33,COTI!F:F,1,FALSE)</f>
        <v>JSU</v>
      </c>
      <c r="D33" s="14" t="s">
        <v>235</v>
      </c>
      <c r="E33" s="14" t="s">
        <v>248</v>
      </c>
      <c r="F33" s="14" t="s">
        <v>249</v>
      </c>
      <c r="G33" s="14">
        <v>9</v>
      </c>
      <c r="H33" s="14" t="s">
        <v>386</v>
      </c>
      <c r="I33" s="14" t="s">
        <v>387</v>
      </c>
      <c r="J33" s="14">
        <v>20210623</v>
      </c>
      <c r="K33" s="14">
        <v>49</v>
      </c>
      <c r="L33" s="14" t="s">
        <v>467</v>
      </c>
      <c r="M33" s="14" t="s">
        <v>389</v>
      </c>
      <c r="N33" s="14" t="s">
        <v>390</v>
      </c>
      <c r="O33" s="14" t="s">
        <v>391</v>
      </c>
      <c r="P33" s="14" t="s">
        <v>392</v>
      </c>
      <c r="Q33" s="14">
        <v>20210623</v>
      </c>
      <c r="R33" s="14" t="s">
        <v>472</v>
      </c>
      <c r="S33" s="14" t="s">
        <v>399</v>
      </c>
      <c r="T33" s="14" t="s">
        <v>399</v>
      </c>
      <c r="U33" s="14" t="s">
        <v>399</v>
      </c>
      <c r="V33" s="14" t="s">
        <v>399</v>
      </c>
      <c r="W33" s="14" t="s">
        <v>399</v>
      </c>
      <c r="X33" s="14" t="s">
        <v>397</v>
      </c>
      <c r="Y33" s="14" t="s">
        <v>397</v>
      </c>
      <c r="Z33" s="14" t="s">
        <v>397</v>
      </c>
      <c r="AA33" s="14" t="s">
        <v>473</v>
      </c>
      <c r="AB33" s="14" t="s">
        <v>399</v>
      </c>
    </row>
    <row r="34" spans="1:28" s="14" customFormat="1" ht="15" x14ac:dyDescent="0.25">
      <c r="A34" s="14" t="str">
        <f>VLOOKUP(E34,COTI!F:F,1,FALSE)</f>
        <v>JTM</v>
      </c>
      <c r="D34" s="14" t="s">
        <v>235</v>
      </c>
      <c r="E34" s="14" t="s">
        <v>246</v>
      </c>
      <c r="F34" s="14" t="s">
        <v>247</v>
      </c>
      <c r="G34" s="14">
        <v>9</v>
      </c>
      <c r="H34" s="14" t="s">
        <v>386</v>
      </c>
      <c r="I34" s="14" t="s">
        <v>387</v>
      </c>
      <c r="J34" s="14">
        <v>20210623</v>
      </c>
      <c r="K34" s="14">
        <v>57</v>
      </c>
      <c r="L34" s="14" t="s">
        <v>467</v>
      </c>
      <c r="M34" s="14" t="s">
        <v>389</v>
      </c>
      <c r="N34" s="14" t="s">
        <v>390</v>
      </c>
      <c r="O34" s="14" t="s">
        <v>391</v>
      </c>
      <c r="P34" s="14" t="s">
        <v>392</v>
      </c>
      <c r="Q34" s="14">
        <v>20210623</v>
      </c>
      <c r="R34" s="14" t="s">
        <v>474</v>
      </c>
      <c r="S34" s="14" t="s">
        <v>399</v>
      </c>
      <c r="T34" s="14" t="s">
        <v>399</v>
      </c>
      <c r="U34" s="14" t="s">
        <v>399</v>
      </c>
      <c r="V34" s="14" t="s">
        <v>399</v>
      </c>
      <c r="W34" s="14" t="s">
        <v>399</v>
      </c>
      <c r="X34" s="14" t="s">
        <v>397</v>
      </c>
      <c r="Y34" s="14" t="s">
        <v>397</v>
      </c>
      <c r="Z34" s="14" t="s">
        <v>397</v>
      </c>
      <c r="AA34" s="14" t="s">
        <v>475</v>
      </c>
      <c r="AB34" s="14" t="s">
        <v>399</v>
      </c>
    </row>
    <row r="35" spans="1:28" s="14" customFormat="1" ht="15" x14ac:dyDescent="0.25">
      <c r="A35" s="14" t="str">
        <f>VLOOKUP(E35,COTI!F:F,1,FALSE)</f>
        <v>JTS</v>
      </c>
      <c r="D35" s="14" t="s">
        <v>235</v>
      </c>
      <c r="E35" s="14" t="s">
        <v>244</v>
      </c>
      <c r="F35" s="14" t="s">
        <v>245</v>
      </c>
      <c r="G35" s="14">
        <v>7</v>
      </c>
      <c r="H35" s="14" t="s">
        <v>386</v>
      </c>
      <c r="I35" s="14" t="s">
        <v>387</v>
      </c>
      <c r="J35" s="14">
        <v>20210629</v>
      </c>
      <c r="K35" s="14">
        <v>49</v>
      </c>
      <c r="L35" s="14" t="s">
        <v>467</v>
      </c>
      <c r="M35" s="14" t="s">
        <v>389</v>
      </c>
      <c r="N35" s="14" t="s">
        <v>390</v>
      </c>
      <c r="O35" s="14" t="s">
        <v>391</v>
      </c>
      <c r="P35" s="14" t="s">
        <v>392</v>
      </c>
      <c r="Q35" s="14">
        <v>20210629</v>
      </c>
      <c r="R35" s="14" t="s">
        <v>476</v>
      </c>
      <c r="S35" s="14" t="s">
        <v>399</v>
      </c>
      <c r="T35" s="14" t="s">
        <v>399</v>
      </c>
      <c r="U35" s="14" t="s">
        <v>399</v>
      </c>
      <c r="V35" s="14" t="s">
        <v>399</v>
      </c>
      <c r="W35" s="14" t="s">
        <v>399</v>
      </c>
      <c r="X35" s="14" t="s">
        <v>397</v>
      </c>
      <c r="Y35" s="14" t="s">
        <v>397</v>
      </c>
      <c r="Z35" s="14" t="s">
        <v>397</v>
      </c>
      <c r="AA35" s="14" t="s">
        <v>477</v>
      </c>
      <c r="AB35" s="14" t="s">
        <v>399</v>
      </c>
    </row>
    <row r="36" spans="1:28" s="14" customFormat="1" ht="15" x14ac:dyDescent="0.25">
      <c r="A36" s="14" t="str">
        <f>VLOOKUP(E36,COTI!F:F,1,FALSE)</f>
        <v>VFL</v>
      </c>
      <c r="D36" s="14" t="s">
        <v>235</v>
      </c>
      <c r="E36" s="14" t="s">
        <v>242</v>
      </c>
      <c r="F36" s="14" t="s">
        <v>243</v>
      </c>
      <c r="G36" s="14">
        <v>2</v>
      </c>
      <c r="H36" s="14" t="s">
        <v>386</v>
      </c>
      <c r="I36" s="14" t="s">
        <v>387</v>
      </c>
      <c r="J36" s="14">
        <v>20060717</v>
      </c>
      <c r="K36" s="14">
        <v>62</v>
      </c>
      <c r="L36" s="14" t="s">
        <v>388</v>
      </c>
      <c r="M36" s="14" t="s">
        <v>389</v>
      </c>
      <c r="N36" s="14" t="s">
        <v>390</v>
      </c>
      <c r="O36" s="14" t="s">
        <v>391</v>
      </c>
      <c r="P36" s="14" t="s">
        <v>392</v>
      </c>
      <c r="Q36" s="14">
        <v>20060717</v>
      </c>
      <c r="R36" s="14" t="s">
        <v>393</v>
      </c>
      <c r="S36" s="14" t="s">
        <v>478</v>
      </c>
      <c r="T36" s="14" t="s">
        <v>395</v>
      </c>
      <c r="U36" s="14" t="s">
        <v>395</v>
      </c>
      <c r="V36" s="14" t="s">
        <v>395</v>
      </c>
      <c r="W36" s="14" t="s">
        <v>395</v>
      </c>
      <c r="X36" s="14" t="s">
        <v>396</v>
      </c>
      <c r="Y36" s="14" t="s">
        <v>397</v>
      </c>
      <c r="Z36" s="14" t="s">
        <v>397</v>
      </c>
      <c r="AA36" s="14" t="s">
        <v>479</v>
      </c>
      <c r="AB36" s="14" t="s">
        <v>399</v>
      </c>
    </row>
    <row r="37" spans="1:28" s="14" customFormat="1" ht="15" x14ac:dyDescent="0.25">
      <c r="A37" s="14" t="str">
        <f>VLOOKUP(E37,COTI!F:F,1,FALSE)</f>
        <v>VML</v>
      </c>
      <c r="D37" s="14" t="s">
        <v>235</v>
      </c>
      <c r="E37" s="14" t="s">
        <v>240</v>
      </c>
      <c r="F37" s="14" t="s">
        <v>241</v>
      </c>
      <c r="G37" s="14">
        <v>1</v>
      </c>
      <c r="H37" s="14" t="s">
        <v>426</v>
      </c>
      <c r="I37" s="14" t="s">
        <v>427</v>
      </c>
      <c r="J37" s="14">
        <v>20060629</v>
      </c>
      <c r="K37" s="14">
        <v>60</v>
      </c>
      <c r="L37" s="14" t="s">
        <v>388</v>
      </c>
      <c r="M37" s="14" t="s">
        <v>389</v>
      </c>
      <c r="N37" s="14" t="s">
        <v>390</v>
      </c>
      <c r="O37" s="14" t="s">
        <v>391</v>
      </c>
      <c r="P37" s="14" t="s">
        <v>392</v>
      </c>
      <c r="Q37" s="14">
        <v>20060629</v>
      </c>
      <c r="R37" s="14" t="s">
        <v>393</v>
      </c>
      <c r="S37" s="14" t="s">
        <v>480</v>
      </c>
      <c r="T37" s="14" t="s">
        <v>395</v>
      </c>
      <c r="U37" s="14" t="s">
        <v>395</v>
      </c>
      <c r="V37" s="14" t="s">
        <v>395</v>
      </c>
      <c r="W37" s="14" t="s">
        <v>395</v>
      </c>
      <c r="X37" s="14" t="s">
        <v>397</v>
      </c>
      <c r="Y37" s="14" t="s">
        <v>397</v>
      </c>
      <c r="Z37" s="14" t="s">
        <v>397</v>
      </c>
      <c r="AA37" s="14" t="s">
        <v>481</v>
      </c>
      <c r="AB37" s="14" t="s">
        <v>399</v>
      </c>
    </row>
    <row r="38" spans="1:28" s="14" customFormat="1" ht="15" x14ac:dyDescent="0.25">
      <c r="A38" s="14" t="str">
        <f>VLOOKUP(E38,COTI!F:F,1,FALSE)</f>
        <v>VMP</v>
      </c>
      <c r="D38" s="14" t="s">
        <v>235</v>
      </c>
      <c r="E38" s="14" t="s">
        <v>238</v>
      </c>
      <c r="F38" s="14" t="s">
        <v>239</v>
      </c>
      <c r="G38" s="14">
        <v>1</v>
      </c>
      <c r="H38" s="14" t="s">
        <v>426</v>
      </c>
      <c r="I38" s="14" t="s">
        <v>427</v>
      </c>
      <c r="J38" s="14">
        <v>20060719</v>
      </c>
      <c r="K38" s="14">
        <v>55</v>
      </c>
      <c r="L38" s="14" t="s">
        <v>388</v>
      </c>
      <c r="M38" s="14" t="s">
        <v>389</v>
      </c>
      <c r="N38" s="14" t="s">
        <v>390</v>
      </c>
      <c r="O38" s="14" t="s">
        <v>391</v>
      </c>
      <c r="P38" s="14" t="s">
        <v>392</v>
      </c>
      <c r="Q38" s="14">
        <v>20060719</v>
      </c>
      <c r="R38" s="14" t="s">
        <v>393</v>
      </c>
      <c r="S38" s="14" t="s">
        <v>482</v>
      </c>
      <c r="T38" s="14" t="s">
        <v>395</v>
      </c>
      <c r="U38" s="14" t="s">
        <v>395</v>
      </c>
      <c r="V38" s="14" t="s">
        <v>395</v>
      </c>
      <c r="W38" s="14" t="s">
        <v>395</v>
      </c>
      <c r="X38" s="14" t="s">
        <v>396</v>
      </c>
      <c r="Y38" s="14" t="s">
        <v>397</v>
      </c>
      <c r="Z38" s="14" t="s">
        <v>397</v>
      </c>
      <c r="AA38" s="14" t="s">
        <v>483</v>
      </c>
      <c r="AB38" s="14" t="s">
        <v>399</v>
      </c>
    </row>
    <row r="39" spans="1:28" s="14" customFormat="1" ht="15" x14ac:dyDescent="0.25">
      <c r="A39" s="14" t="str">
        <f>VLOOKUP(E39,COTI!F:F,1,FALSE)</f>
        <v>VMX</v>
      </c>
      <c r="D39" s="14" t="s">
        <v>235</v>
      </c>
      <c r="E39" s="14" t="s">
        <v>236</v>
      </c>
      <c r="F39" s="14" t="s">
        <v>237</v>
      </c>
      <c r="G39" s="14">
        <v>1</v>
      </c>
      <c r="H39" s="14" t="s">
        <v>426</v>
      </c>
      <c r="I39" s="14" t="s">
        <v>427</v>
      </c>
      <c r="J39" s="14">
        <v>20060719</v>
      </c>
      <c r="K39" s="14">
        <v>60</v>
      </c>
      <c r="L39" s="14" t="s">
        <v>388</v>
      </c>
      <c r="M39" s="14" t="s">
        <v>389</v>
      </c>
      <c r="N39" s="14" t="s">
        <v>390</v>
      </c>
      <c r="O39" s="14" t="s">
        <v>391</v>
      </c>
      <c r="P39" s="14" t="s">
        <v>392</v>
      </c>
      <c r="Q39" s="14">
        <v>20060719</v>
      </c>
      <c r="R39" s="14" t="s">
        <v>393</v>
      </c>
      <c r="S39" s="14" t="s">
        <v>484</v>
      </c>
      <c r="T39" s="14" t="s">
        <v>395</v>
      </c>
      <c r="U39" s="14" t="s">
        <v>395</v>
      </c>
      <c r="V39" s="14" t="s">
        <v>395</v>
      </c>
      <c r="W39" s="14" t="s">
        <v>395</v>
      </c>
      <c r="X39" s="14" t="s">
        <v>397</v>
      </c>
      <c r="Y39" s="14" t="s">
        <v>397</v>
      </c>
      <c r="Z39" s="14" t="s">
        <v>396</v>
      </c>
      <c r="AA39" s="14" t="s">
        <v>485</v>
      </c>
      <c r="AB39" s="14" t="s">
        <v>399</v>
      </c>
    </row>
    <row r="40" spans="1:28" s="13" customFormat="1" ht="15" x14ac:dyDescent="0.25">
      <c r="A40" s="13">
        <f>VLOOKUP(E40,COTI!F:F,1,FALSE)</f>
        <v>191</v>
      </c>
      <c r="D40" s="13" t="s">
        <v>226</v>
      </c>
      <c r="E40" s="13">
        <v>191</v>
      </c>
      <c r="F40" s="13" t="s">
        <v>232</v>
      </c>
      <c r="G40" s="13">
        <v>2</v>
      </c>
      <c r="H40" s="13" t="s">
        <v>486</v>
      </c>
      <c r="I40" s="13" t="s">
        <v>387</v>
      </c>
      <c r="J40" s="13">
        <v>20090114</v>
      </c>
      <c r="K40" s="13">
        <v>60</v>
      </c>
      <c r="L40" s="13" t="s">
        <v>431</v>
      </c>
      <c r="M40" s="13" t="s">
        <v>389</v>
      </c>
      <c r="N40" s="13" t="s">
        <v>390</v>
      </c>
      <c r="O40" s="13" t="s">
        <v>391</v>
      </c>
      <c r="P40" s="13" t="s">
        <v>392</v>
      </c>
      <c r="Q40" s="13">
        <v>20090114</v>
      </c>
      <c r="R40" s="13" t="s">
        <v>432</v>
      </c>
      <c r="S40" s="13" t="s">
        <v>487</v>
      </c>
      <c r="T40" s="13" t="s">
        <v>395</v>
      </c>
      <c r="U40" s="13" t="s">
        <v>395</v>
      </c>
      <c r="V40" s="13" t="s">
        <v>395</v>
      </c>
      <c r="W40" s="13" t="s">
        <v>395</v>
      </c>
      <c r="X40" s="13" t="s">
        <v>397</v>
      </c>
      <c r="Y40" s="13" t="s">
        <v>397</v>
      </c>
      <c r="Z40" s="13" t="s">
        <v>397</v>
      </c>
      <c r="AA40" s="13">
        <v>191</v>
      </c>
      <c r="AB40" s="13" t="s">
        <v>399</v>
      </c>
    </row>
    <row r="41" spans="1:28" s="13" customFormat="1" ht="15" x14ac:dyDescent="0.25">
      <c r="A41" s="13">
        <f>VLOOKUP(E41,COTI!F:F,1,FALSE)</f>
        <v>192</v>
      </c>
      <c r="D41" s="13" t="s">
        <v>226</v>
      </c>
      <c r="E41" s="13">
        <v>192</v>
      </c>
      <c r="F41" s="13" t="s">
        <v>231</v>
      </c>
      <c r="G41" s="13">
        <v>2</v>
      </c>
      <c r="H41" s="13" t="s">
        <v>488</v>
      </c>
      <c r="I41" s="13" t="s">
        <v>387</v>
      </c>
      <c r="J41" s="13">
        <v>20090114</v>
      </c>
      <c r="K41" s="13">
        <v>60</v>
      </c>
      <c r="L41" s="13" t="s">
        <v>431</v>
      </c>
      <c r="M41" s="13" t="s">
        <v>389</v>
      </c>
      <c r="N41" s="13" t="s">
        <v>390</v>
      </c>
      <c r="O41" s="13" t="s">
        <v>391</v>
      </c>
      <c r="P41" s="13" t="s">
        <v>392</v>
      </c>
      <c r="Q41" s="13">
        <v>20090120</v>
      </c>
      <c r="R41" s="13" t="s">
        <v>432</v>
      </c>
      <c r="S41" s="13" t="s">
        <v>489</v>
      </c>
      <c r="T41" s="13" t="s">
        <v>395</v>
      </c>
      <c r="U41" s="13" t="s">
        <v>395</v>
      </c>
      <c r="V41" s="13" t="s">
        <v>395</v>
      </c>
      <c r="W41" s="13" t="s">
        <v>395</v>
      </c>
      <c r="X41" s="13" t="s">
        <v>397</v>
      </c>
      <c r="Y41" s="13" t="s">
        <v>397</v>
      </c>
      <c r="Z41" s="13" t="s">
        <v>397</v>
      </c>
      <c r="AA41" s="13">
        <v>192</v>
      </c>
      <c r="AB41" s="13" t="s">
        <v>399</v>
      </c>
    </row>
    <row r="42" spans="1:28" s="13" customFormat="1" ht="15" x14ac:dyDescent="0.25">
      <c r="A42" s="13" t="str">
        <f>VLOOKUP(E42,COTI!F:F,1,FALSE)</f>
        <v>ARM</v>
      </c>
      <c r="D42" s="13" t="s">
        <v>226</v>
      </c>
      <c r="E42" s="13" t="s">
        <v>229</v>
      </c>
      <c r="F42" s="13" t="s">
        <v>230</v>
      </c>
      <c r="G42" s="13">
        <v>1</v>
      </c>
      <c r="H42" s="13" t="s">
        <v>426</v>
      </c>
      <c r="I42" s="13" t="s">
        <v>427</v>
      </c>
      <c r="J42" s="13">
        <v>20081118</v>
      </c>
      <c r="K42" s="13">
        <v>60</v>
      </c>
      <c r="L42" s="13" t="s">
        <v>388</v>
      </c>
      <c r="M42" s="13" t="s">
        <v>389</v>
      </c>
      <c r="N42" s="13" t="s">
        <v>390</v>
      </c>
      <c r="O42" s="13" t="s">
        <v>391</v>
      </c>
      <c r="P42" s="13" t="s">
        <v>392</v>
      </c>
      <c r="Q42" s="13">
        <v>20081118</v>
      </c>
      <c r="R42" s="13" t="s">
        <v>393</v>
      </c>
      <c r="S42" s="13" t="s">
        <v>490</v>
      </c>
      <c r="T42" s="13" t="s">
        <v>395</v>
      </c>
      <c r="U42" s="13" t="s">
        <v>395</v>
      </c>
      <c r="V42" s="13" t="s">
        <v>395</v>
      </c>
      <c r="W42" s="13" t="s">
        <v>395</v>
      </c>
      <c r="X42" s="13" t="s">
        <v>397</v>
      </c>
      <c r="Y42" s="13" t="s">
        <v>397</v>
      </c>
      <c r="Z42" s="13" t="s">
        <v>397</v>
      </c>
      <c r="AA42" s="13" t="s">
        <v>491</v>
      </c>
      <c r="AB42" s="13" t="s">
        <v>399</v>
      </c>
    </row>
    <row r="43" spans="1:28" s="13" customFormat="1" ht="15" x14ac:dyDescent="0.25">
      <c r="A43" s="13" t="str">
        <f>VLOOKUP(E43,COTI!F:F,1,FALSE)</f>
        <v>G93</v>
      </c>
      <c r="D43" s="13" t="s">
        <v>226</v>
      </c>
      <c r="E43" s="13" t="s">
        <v>227</v>
      </c>
      <c r="F43" s="13" t="s">
        <v>228</v>
      </c>
      <c r="G43" s="13">
        <v>2</v>
      </c>
      <c r="H43" s="13" t="s">
        <v>488</v>
      </c>
      <c r="I43" s="13" t="s">
        <v>387</v>
      </c>
      <c r="J43" s="13">
        <v>20090114</v>
      </c>
      <c r="K43" s="13">
        <v>58</v>
      </c>
      <c r="L43" s="13" t="s">
        <v>431</v>
      </c>
      <c r="M43" s="13" t="s">
        <v>389</v>
      </c>
      <c r="N43" s="13" t="s">
        <v>390</v>
      </c>
      <c r="O43" s="13" t="s">
        <v>391</v>
      </c>
      <c r="P43" s="13" t="s">
        <v>392</v>
      </c>
      <c r="Q43" s="13">
        <v>20090120</v>
      </c>
      <c r="R43" s="13" t="s">
        <v>432</v>
      </c>
      <c r="S43" s="13" t="s">
        <v>489</v>
      </c>
      <c r="T43" s="13" t="s">
        <v>395</v>
      </c>
      <c r="U43" s="13" t="s">
        <v>395</v>
      </c>
      <c r="V43" s="13" t="s">
        <v>395</v>
      </c>
      <c r="W43" s="13" t="s">
        <v>395</v>
      </c>
      <c r="X43" s="13" t="s">
        <v>396</v>
      </c>
      <c r="Y43" s="13" t="s">
        <v>397</v>
      </c>
      <c r="Z43" s="13" t="s">
        <v>397</v>
      </c>
      <c r="AA43" s="13" t="s">
        <v>492</v>
      </c>
      <c r="AB43" s="13" t="s">
        <v>399</v>
      </c>
    </row>
    <row r="44" spans="1:28" s="13" customFormat="1" ht="15" x14ac:dyDescent="0.25">
      <c r="A44" s="13" t="str">
        <f>VLOOKUP(E44,COTI!F:F,1,FALSE)</f>
        <v>GX2</v>
      </c>
      <c r="D44" s="13" t="s">
        <v>226</v>
      </c>
      <c r="E44" s="13" t="s">
        <v>224</v>
      </c>
      <c r="F44" s="13" t="s">
        <v>225</v>
      </c>
      <c r="G44" s="13">
        <v>2</v>
      </c>
      <c r="H44" s="13" t="s">
        <v>488</v>
      </c>
      <c r="I44" s="13" t="s">
        <v>387</v>
      </c>
      <c r="J44" s="13">
        <v>20090120</v>
      </c>
      <c r="K44" s="13">
        <v>59</v>
      </c>
      <c r="L44" s="13" t="s">
        <v>388</v>
      </c>
      <c r="M44" s="13" t="s">
        <v>389</v>
      </c>
      <c r="N44" s="13" t="s">
        <v>390</v>
      </c>
      <c r="O44" s="13" t="s">
        <v>391</v>
      </c>
      <c r="P44" s="13" t="s">
        <v>392</v>
      </c>
      <c r="Q44" s="13">
        <v>20090120</v>
      </c>
      <c r="R44" s="13" t="s">
        <v>393</v>
      </c>
      <c r="S44" s="13" t="s">
        <v>489</v>
      </c>
      <c r="T44" s="13" t="s">
        <v>395</v>
      </c>
      <c r="U44" s="13" t="s">
        <v>395</v>
      </c>
      <c r="V44" s="13" t="s">
        <v>395</v>
      </c>
      <c r="W44" s="13" t="s">
        <v>395</v>
      </c>
      <c r="X44" s="13" t="s">
        <v>397</v>
      </c>
      <c r="Y44" s="13" t="s">
        <v>397</v>
      </c>
      <c r="Z44" s="13" t="s">
        <v>397</v>
      </c>
      <c r="AA44" s="13" t="s">
        <v>493</v>
      </c>
      <c r="AB44" s="13" t="s">
        <v>399</v>
      </c>
    </row>
    <row r="45" spans="1:28" s="13" customFormat="1" ht="15" x14ac:dyDescent="0.25">
      <c r="A45" s="13" t="str">
        <f>VLOOKUP(E45,COTI!F:F,1,FALSE)</f>
        <v>PL0</v>
      </c>
      <c r="D45" s="13" t="s">
        <v>223</v>
      </c>
      <c r="E45" s="13" t="s">
        <v>221</v>
      </c>
      <c r="F45" s="13" t="s">
        <v>222</v>
      </c>
      <c r="G45" s="13">
        <v>7</v>
      </c>
      <c r="H45" s="13" t="s">
        <v>386</v>
      </c>
      <c r="I45" s="13" t="s">
        <v>387</v>
      </c>
      <c r="J45" s="13">
        <v>20120725</v>
      </c>
      <c r="K45" s="13">
        <v>55</v>
      </c>
      <c r="L45" s="13" t="s">
        <v>494</v>
      </c>
      <c r="M45" s="13" t="s">
        <v>389</v>
      </c>
      <c r="N45" s="13" t="s">
        <v>390</v>
      </c>
      <c r="O45" s="13" t="s">
        <v>391</v>
      </c>
      <c r="P45" s="13" t="s">
        <v>392</v>
      </c>
      <c r="Q45" s="13">
        <v>20120725</v>
      </c>
      <c r="R45" s="13" t="s">
        <v>495</v>
      </c>
      <c r="S45" s="13" t="s">
        <v>496</v>
      </c>
      <c r="T45" s="13" t="s">
        <v>395</v>
      </c>
      <c r="U45" s="13" t="s">
        <v>395</v>
      </c>
      <c r="V45" s="13" t="s">
        <v>395</v>
      </c>
      <c r="W45" s="13" t="s">
        <v>395</v>
      </c>
      <c r="X45" s="13" t="s">
        <v>397</v>
      </c>
      <c r="Y45" s="13" t="s">
        <v>397</v>
      </c>
      <c r="Z45" s="13" t="s">
        <v>397</v>
      </c>
      <c r="AA45" s="13" t="s">
        <v>497</v>
      </c>
      <c r="AB45" s="13" t="s">
        <v>399</v>
      </c>
    </row>
    <row r="46" spans="1:28" s="13" customFormat="1" ht="15" x14ac:dyDescent="0.25">
      <c r="A46" s="13">
        <f>VLOOKUP(E46,COTI!F:F,1,FALSE)</f>
        <v>114</v>
      </c>
      <c r="D46" s="13" t="s">
        <v>217</v>
      </c>
      <c r="E46" s="13">
        <v>114</v>
      </c>
      <c r="F46" s="13" t="s">
        <v>220</v>
      </c>
      <c r="G46" s="13">
        <v>1</v>
      </c>
      <c r="H46" s="13" t="s">
        <v>426</v>
      </c>
      <c r="I46" s="13" t="s">
        <v>427</v>
      </c>
      <c r="J46" s="13">
        <v>20100120</v>
      </c>
      <c r="K46" s="13">
        <v>60</v>
      </c>
      <c r="L46" s="13" t="s">
        <v>388</v>
      </c>
      <c r="M46" s="13" t="s">
        <v>389</v>
      </c>
      <c r="N46" s="13" t="s">
        <v>390</v>
      </c>
      <c r="O46" s="13" t="s">
        <v>391</v>
      </c>
      <c r="P46" s="13" t="s">
        <v>392</v>
      </c>
      <c r="Q46" s="13">
        <v>20100120</v>
      </c>
      <c r="R46" s="13" t="s">
        <v>393</v>
      </c>
      <c r="S46" s="13" t="s">
        <v>395</v>
      </c>
      <c r="T46" s="13" t="s">
        <v>395</v>
      </c>
      <c r="U46" s="13" t="s">
        <v>395</v>
      </c>
      <c r="V46" s="13" t="s">
        <v>395</v>
      </c>
      <c r="W46" s="13" t="s">
        <v>395</v>
      </c>
      <c r="X46" s="13" t="s">
        <v>397</v>
      </c>
      <c r="Y46" s="13" t="s">
        <v>397</v>
      </c>
      <c r="Z46" s="13" t="s">
        <v>397</v>
      </c>
      <c r="AA46" s="13">
        <v>114</v>
      </c>
      <c r="AB46" s="13" t="s">
        <v>399</v>
      </c>
    </row>
    <row r="47" spans="1:28" s="13" customFormat="1" ht="15" x14ac:dyDescent="0.25">
      <c r="A47" s="13" t="str">
        <f>VLOOKUP(E47,COTI!F:F,1,FALSE)</f>
        <v>JCT</v>
      </c>
      <c r="D47" s="13" t="s">
        <v>217</v>
      </c>
      <c r="E47" s="13" t="s">
        <v>215</v>
      </c>
      <c r="F47" s="13" t="s">
        <v>216</v>
      </c>
      <c r="G47" s="13">
        <v>4</v>
      </c>
      <c r="H47" s="13" t="s">
        <v>386</v>
      </c>
      <c r="I47" s="13" t="s">
        <v>387</v>
      </c>
      <c r="J47" s="13">
        <v>20141119</v>
      </c>
      <c r="K47" s="13">
        <v>50</v>
      </c>
      <c r="L47" s="13" t="s">
        <v>498</v>
      </c>
      <c r="M47" s="13" t="s">
        <v>389</v>
      </c>
      <c r="N47" s="13" t="s">
        <v>390</v>
      </c>
      <c r="O47" s="13" t="s">
        <v>391</v>
      </c>
      <c r="P47" s="13" t="s">
        <v>392</v>
      </c>
      <c r="Q47" s="13">
        <v>20150112</v>
      </c>
      <c r="R47" s="13">
        <v>0</v>
      </c>
      <c r="S47" s="13" t="s">
        <v>499</v>
      </c>
      <c r="T47" s="13" t="s">
        <v>395</v>
      </c>
      <c r="U47" s="13" t="s">
        <v>395</v>
      </c>
      <c r="V47" s="13" t="s">
        <v>395</v>
      </c>
      <c r="W47" s="13" t="s">
        <v>395</v>
      </c>
      <c r="X47" s="13" t="s">
        <v>397</v>
      </c>
      <c r="Y47" s="13" t="s">
        <v>397</v>
      </c>
      <c r="Z47" s="13" t="s">
        <v>397</v>
      </c>
      <c r="AA47" s="13" t="s">
        <v>500</v>
      </c>
      <c r="AB47" s="13" t="s">
        <v>399</v>
      </c>
    </row>
    <row r="48" spans="1:28" s="13" customFormat="1" ht="15" x14ac:dyDescent="0.25">
      <c r="A48" s="13">
        <f>VLOOKUP(E48,COTI!F:F,1,FALSE)</f>
        <v>415</v>
      </c>
      <c r="D48" s="13" t="s">
        <v>202</v>
      </c>
      <c r="E48" s="13">
        <v>415</v>
      </c>
      <c r="F48" s="13" t="s">
        <v>213</v>
      </c>
      <c r="G48" s="13">
        <v>3</v>
      </c>
      <c r="H48" s="13" t="s">
        <v>501</v>
      </c>
      <c r="I48" s="13" t="s">
        <v>502</v>
      </c>
      <c r="J48" s="13">
        <v>20120312</v>
      </c>
      <c r="K48" s="13">
        <v>57</v>
      </c>
      <c r="L48" s="13" t="s">
        <v>388</v>
      </c>
      <c r="M48" s="13" t="s">
        <v>389</v>
      </c>
      <c r="N48" s="13" t="s">
        <v>390</v>
      </c>
      <c r="O48" s="13" t="s">
        <v>391</v>
      </c>
      <c r="P48" s="13" t="s">
        <v>392</v>
      </c>
      <c r="Q48" s="13">
        <v>20120312</v>
      </c>
      <c r="R48" s="13" t="s">
        <v>393</v>
      </c>
      <c r="S48" s="13" t="s">
        <v>503</v>
      </c>
      <c r="T48" s="13" t="s">
        <v>395</v>
      </c>
      <c r="U48" s="13" t="s">
        <v>395</v>
      </c>
      <c r="V48" s="13" t="s">
        <v>395</v>
      </c>
      <c r="W48" s="13" t="s">
        <v>395</v>
      </c>
      <c r="X48" s="13" t="s">
        <v>397</v>
      </c>
      <c r="Y48" s="13" t="s">
        <v>397</v>
      </c>
      <c r="Z48" s="13" t="s">
        <v>397</v>
      </c>
      <c r="AA48" s="13">
        <v>4150002</v>
      </c>
      <c r="AB48" s="13" t="s">
        <v>399</v>
      </c>
    </row>
    <row r="49" spans="1:28" s="13" customFormat="1" ht="15" x14ac:dyDescent="0.25">
      <c r="A49" s="13" t="str">
        <f>VLOOKUP(E49,COTI!F:F,1,FALSE)</f>
        <v>BUI</v>
      </c>
      <c r="D49" s="13" t="s">
        <v>202</v>
      </c>
      <c r="E49" s="13" t="s">
        <v>211</v>
      </c>
      <c r="F49" s="13" t="s">
        <v>212</v>
      </c>
      <c r="G49" s="13">
        <v>4</v>
      </c>
      <c r="H49" s="13" t="s">
        <v>504</v>
      </c>
      <c r="I49" s="13" t="s">
        <v>387</v>
      </c>
      <c r="J49" s="13">
        <v>20070723</v>
      </c>
      <c r="K49" s="13">
        <v>64</v>
      </c>
      <c r="L49" s="13" t="s">
        <v>431</v>
      </c>
      <c r="M49" s="13" t="s">
        <v>389</v>
      </c>
      <c r="N49" s="13" t="s">
        <v>390</v>
      </c>
      <c r="O49" s="13" t="s">
        <v>391</v>
      </c>
      <c r="P49" s="13" t="s">
        <v>392</v>
      </c>
      <c r="Q49" s="13">
        <v>20070723</v>
      </c>
      <c r="R49" s="13" t="s">
        <v>432</v>
      </c>
      <c r="S49" s="13" t="s">
        <v>505</v>
      </c>
      <c r="T49" s="13" t="s">
        <v>395</v>
      </c>
      <c r="U49" s="13" t="s">
        <v>395</v>
      </c>
      <c r="V49" s="13" t="s">
        <v>395</v>
      </c>
      <c r="W49" s="13" t="s">
        <v>395</v>
      </c>
      <c r="X49" s="13" t="s">
        <v>397</v>
      </c>
      <c r="Y49" s="13" t="s">
        <v>397</v>
      </c>
      <c r="Z49" s="13" t="s">
        <v>397</v>
      </c>
      <c r="AA49" s="13" t="s">
        <v>506</v>
      </c>
      <c r="AB49" s="13" t="s">
        <v>399</v>
      </c>
    </row>
    <row r="50" spans="1:28" s="13" customFormat="1" ht="15" x14ac:dyDescent="0.25">
      <c r="A50" s="13" t="str">
        <f>VLOOKUP(E50,COTI!F:F,1,FALSE)</f>
        <v>CHE</v>
      </c>
      <c r="D50" s="13" t="s">
        <v>202</v>
      </c>
      <c r="E50" s="13" t="s">
        <v>209</v>
      </c>
      <c r="F50" s="13" t="s">
        <v>210</v>
      </c>
      <c r="G50" s="13">
        <v>7</v>
      </c>
      <c r="H50" s="13" t="s">
        <v>507</v>
      </c>
      <c r="I50" s="13" t="s">
        <v>387</v>
      </c>
      <c r="J50" s="13">
        <v>20070718</v>
      </c>
      <c r="K50" s="13">
        <v>64</v>
      </c>
      <c r="L50" s="13" t="s">
        <v>431</v>
      </c>
      <c r="M50" s="13" t="s">
        <v>389</v>
      </c>
      <c r="N50" s="13" t="s">
        <v>390</v>
      </c>
      <c r="O50" s="13" t="s">
        <v>391</v>
      </c>
      <c r="P50" s="13" t="s">
        <v>392</v>
      </c>
      <c r="Q50" s="13">
        <v>20070718</v>
      </c>
      <c r="R50" s="13" t="s">
        <v>432</v>
      </c>
      <c r="S50" s="13" t="s">
        <v>508</v>
      </c>
      <c r="T50" s="13" t="s">
        <v>395</v>
      </c>
      <c r="U50" s="13" t="s">
        <v>395</v>
      </c>
      <c r="V50" s="13" t="s">
        <v>395</v>
      </c>
      <c r="W50" s="13" t="s">
        <v>395</v>
      </c>
      <c r="X50" s="13" t="s">
        <v>397</v>
      </c>
      <c r="Y50" s="13" t="s">
        <v>397</v>
      </c>
      <c r="Z50" s="13" t="s">
        <v>397</v>
      </c>
      <c r="AA50" s="13" t="s">
        <v>509</v>
      </c>
      <c r="AB50" s="13" t="s">
        <v>399</v>
      </c>
    </row>
    <row r="51" spans="1:28" s="13" customFormat="1" ht="15" x14ac:dyDescent="0.25">
      <c r="A51" s="13" t="str">
        <f>VLOOKUP(E51,COTI!F:F,1,FALSE)</f>
        <v>DEN</v>
      </c>
      <c r="D51" s="13" t="s">
        <v>202</v>
      </c>
      <c r="E51" s="13" t="s">
        <v>207</v>
      </c>
      <c r="F51" s="13" t="s">
        <v>208</v>
      </c>
      <c r="G51" s="13">
        <v>4</v>
      </c>
      <c r="H51" s="13" t="s">
        <v>504</v>
      </c>
      <c r="I51" s="13" t="s">
        <v>387</v>
      </c>
      <c r="J51" s="13">
        <v>20070724</v>
      </c>
      <c r="K51" s="13">
        <v>64</v>
      </c>
      <c r="L51" s="13" t="s">
        <v>431</v>
      </c>
      <c r="M51" s="13" t="s">
        <v>389</v>
      </c>
      <c r="N51" s="13" t="s">
        <v>390</v>
      </c>
      <c r="O51" s="13" t="s">
        <v>391</v>
      </c>
      <c r="P51" s="13" t="s">
        <v>392</v>
      </c>
      <c r="Q51" s="13">
        <v>20070724</v>
      </c>
      <c r="R51" s="13" t="s">
        <v>432</v>
      </c>
      <c r="S51" s="13" t="s">
        <v>510</v>
      </c>
      <c r="T51" s="13" t="s">
        <v>395</v>
      </c>
      <c r="U51" s="13" t="s">
        <v>395</v>
      </c>
      <c r="V51" s="13" t="s">
        <v>395</v>
      </c>
      <c r="W51" s="13" t="s">
        <v>395</v>
      </c>
      <c r="X51" s="13" t="s">
        <v>397</v>
      </c>
      <c r="Y51" s="13" t="s">
        <v>397</v>
      </c>
      <c r="Z51" s="13" t="s">
        <v>397</v>
      </c>
      <c r="AA51" s="13" t="s">
        <v>511</v>
      </c>
      <c r="AB51" s="13" t="s">
        <v>399</v>
      </c>
    </row>
    <row r="52" spans="1:28" s="13" customFormat="1" ht="15" x14ac:dyDescent="0.25">
      <c r="A52" s="13" t="str">
        <f>VLOOKUP(E52,COTI!F:F,1,FALSE)</f>
        <v>GSS</v>
      </c>
      <c r="D52" s="13" t="s">
        <v>202</v>
      </c>
      <c r="E52" s="13" t="s">
        <v>205</v>
      </c>
      <c r="F52" s="13" t="s">
        <v>206</v>
      </c>
      <c r="G52" s="13">
        <v>5</v>
      </c>
      <c r="H52" s="13" t="s">
        <v>507</v>
      </c>
      <c r="I52" s="13" t="s">
        <v>387</v>
      </c>
      <c r="J52" s="13">
        <v>20070727</v>
      </c>
      <c r="K52" s="13">
        <v>64</v>
      </c>
      <c r="L52" s="13" t="s">
        <v>431</v>
      </c>
      <c r="M52" s="13" t="s">
        <v>389</v>
      </c>
      <c r="N52" s="13" t="s">
        <v>390</v>
      </c>
      <c r="O52" s="13" t="s">
        <v>391</v>
      </c>
      <c r="P52" s="13" t="s">
        <v>392</v>
      </c>
      <c r="Q52" s="13">
        <v>20070727</v>
      </c>
      <c r="R52" s="13" t="s">
        <v>432</v>
      </c>
      <c r="S52" s="13" t="s">
        <v>512</v>
      </c>
      <c r="T52" s="13" t="s">
        <v>395</v>
      </c>
      <c r="U52" s="13" t="s">
        <v>395</v>
      </c>
      <c r="V52" s="13" t="s">
        <v>395</v>
      </c>
      <c r="W52" s="13" t="s">
        <v>395</v>
      </c>
      <c r="X52" s="13" t="s">
        <v>397</v>
      </c>
      <c r="Y52" s="13" t="s">
        <v>397</v>
      </c>
      <c r="Z52" s="13" t="s">
        <v>397</v>
      </c>
      <c r="AA52" s="13" t="s">
        <v>513</v>
      </c>
      <c r="AB52" s="13" t="s">
        <v>399</v>
      </c>
    </row>
    <row r="53" spans="1:28" s="13" customFormat="1" ht="15" x14ac:dyDescent="0.25">
      <c r="A53" s="13" t="str">
        <f>VLOOKUP(E53,COTI!F:F,1,FALSE)</f>
        <v>NAV</v>
      </c>
      <c r="D53" s="13" t="s">
        <v>202</v>
      </c>
      <c r="E53" s="13" t="s">
        <v>203</v>
      </c>
      <c r="F53" s="13" t="s">
        <v>204</v>
      </c>
      <c r="G53" s="13">
        <v>3</v>
      </c>
      <c r="H53" s="13" t="s">
        <v>514</v>
      </c>
      <c r="I53" s="13" t="s">
        <v>387</v>
      </c>
      <c r="J53" s="13">
        <v>20090310</v>
      </c>
      <c r="K53" s="13">
        <v>65</v>
      </c>
      <c r="L53" s="13" t="s">
        <v>388</v>
      </c>
      <c r="M53" s="13" t="s">
        <v>389</v>
      </c>
      <c r="N53" s="13" t="s">
        <v>390</v>
      </c>
      <c r="O53" s="13" t="s">
        <v>391</v>
      </c>
      <c r="P53" s="13" t="s">
        <v>392</v>
      </c>
      <c r="Q53" s="13">
        <v>20090310</v>
      </c>
      <c r="R53" s="13" t="s">
        <v>393</v>
      </c>
      <c r="S53" s="13" t="s">
        <v>515</v>
      </c>
      <c r="T53" s="13" t="s">
        <v>395</v>
      </c>
      <c r="U53" s="13" t="s">
        <v>395</v>
      </c>
      <c r="V53" s="13" t="s">
        <v>395</v>
      </c>
      <c r="W53" s="13" t="s">
        <v>395</v>
      </c>
      <c r="X53" s="13" t="s">
        <v>397</v>
      </c>
      <c r="Y53" s="13" t="s">
        <v>397</v>
      </c>
      <c r="Z53" s="13" t="s">
        <v>397</v>
      </c>
      <c r="AA53" s="13" t="s">
        <v>516</v>
      </c>
      <c r="AB53" s="13" t="s">
        <v>399</v>
      </c>
    </row>
    <row r="54" spans="1:28" s="13" customFormat="1" ht="15" x14ac:dyDescent="0.25">
      <c r="A54" s="13" t="str">
        <f>VLOOKUP(E54,COTI!F:F,1,FALSE)</f>
        <v>SAA</v>
      </c>
      <c r="D54" s="13" t="s">
        <v>202</v>
      </c>
      <c r="E54" s="13" t="s">
        <v>200</v>
      </c>
      <c r="F54" s="13" t="s">
        <v>201</v>
      </c>
      <c r="G54" s="13">
        <v>5</v>
      </c>
      <c r="H54" s="13" t="s">
        <v>507</v>
      </c>
      <c r="I54" s="13" t="s">
        <v>387</v>
      </c>
      <c r="J54" s="13">
        <v>20070718</v>
      </c>
      <c r="K54" s="13">
        <v>64</v>
      </c>
      <c r="L54" s="13" t="s">
        <v>388</v>
      </c>
      <c r="M54" s="13" t="s">
        <v>389</v>
      </c>
      <c r="N54" s="13" t="s">
        <v>390</v>
      </c>
      <c r="O54" s="13" t="s">
        <v>391</v>
      </c>
      <c r="P54" s="13" t="s">
        <v>392</v>
      </c>
      <c r="Q54" s="13">
        <v>20070718</v>
      </c>
      <c r="R54" s="13" t="s">
        <v>393</v>
      </c>
      <c r="S54" s="13" t="s">
        <v>517</v>
      </c>
      <c r="T54" s="13" t="s">
        <v>395</v>
      </c>
      <c r="U54" s="13" t="s">
        <v>395</v>
      </c>
      <c r="V54" s="13" t="s">
        <v>395</v>
      </c>
      <c r="W54" s="13" t="s">
        <v>395</v>
      </c>
      <c r="X54" s="13" t="s">
        <v>397</v>
      </c>
      <c r="Y54" s="13" t="s">
        <v>397</v>
      </c>
      <c r="Z54" s="13" t="s">
        <v>397</v>
      </c>
      <c r="AA54" s="13" t="s">
        <v>518</v>
      </c>
      <c r="AB54" s="13" t="s">
        <v>399</v>
      </c>
    </row>
    <row r="55" spans="1:28" s="13" customFormat="1" ht="15" x14ac:dyDescent="0.25">
      <c r="A55" s="13" t="str">
        <f>VLOOKUP(E55,COTI!F:F,1,FALSE)</f>
        <v>SHI</v>
      </c>
      <c r="D55" s="13" t="s">
        <v>197</v>
      </c>
      <c r="E55" s="13" t="s">
        <v>195</v>
      </c>
      <c r="F55" s="13" t="s">
        <v>196</v>
      </c>
      <c r="G55" s="13">
        <v>1</v>
      </c>
      <c r="H55" s="13" t="s">
        <v>426</v>
      </c>
      <c r="I55" s="13" t="s">
        <v>427</v>
      </c>
      <c r="J55" s="13">
        <v>20070217</v>
      </c>
      <c r="K55" s="13">
        <v>64</v>
      </c>
      <c r="L55" s="13" t="s">
        <v>388</v>
      </c>
      <c r="M55" s="13" t="s">
        <v>389</v>
      </c>
      <c r="N55" s="13" t="s">
        <v>390</v>
      </c>
      <c r="O55" s="13" t="s">
        <v>391</v>
      </c>
      <c r="P55" s="13" t="s">
        <v>392</v>
      </c>
      <c r="Q55" s="13">
        <v>20070217</v>
      </c>
      <c r="R55" s="13" t="s">
        <v>393</v>
      </c>
      <c r="S55" s="13" t="s">
        <v>519</v>
      </c>
      <c r="T55" s="13" t="s">
        <v>395</v>
      </c>
      <c r="U55" s="13" t="s">
        <v>395</v>
      </c>
      <c r="V55" s="13" t="s">
        <v>395</v>
      </c>
      <c r="W55" s="13" t="s">
        <v>395</v>
      </c>
      <c r="X55" s="13" t="s">
        <v>397</v>
      </c>
      <c r="Y55" s="13" t="s">
        <v>397</v>
      </c>
      <c r="Z55" s="13" t="s">
        <v>397</v>
      </c>
      <c r="AA55" s="13" t="s">
        <v>520</v>
      </c>
      <c r="AB55" s="13" t="s">
        <v>399</v>
      </c>
    </row>
    <row r="56" spans="1:28" s="13" customFormat="1" ht="15" x14ac:dyDescent="0.25">
      <c r="A56" s="13" t="str">
        <f>VLOOKUP(E56,COTI!F:F,1,FALSE)</f>
        <v>KHE</v>
      </c>
      <c r="D56" s="13" t="s">
        <v>194</v>
      </c>
      <c r="E56" s="13" t="s">
        <v>193</v>
      </c>
      <c r="F56" s="13" t="s">
        <v>20</v>
      </c>
      <c r="G56" s="13">
        <v>7</v>
      </c>
      <c r="H56" s="13" t="s">
        <v>521</v>
      </c>
      <c r="I56" s="13" t="s">
        <v>387</v>
      </c>
      <c r="J56" s="13">
        <v>20110914</v>
      </c>
      <c r="K56" s="13">
        <v>57</v>
      </c>
      <c r="L56" s="13" t="s">
        <v>431</v>
      </c>
      <c r="M56" s="13" t="s">
        <v>389</v>
      </c>
      <c r="N56" s="13" t="s">
        <v>390</v>
      </c>
      <c r="O56" s="13" t="s">
        <v>391</v>
      </c>
      <c r="P56" s="13" t="s">
        <v>392</v>
      </c>
      <c r="Q56" s="13">
        <v>20110914</v>
      </c>
      <c r="R56" s="13" t="s">
        <v>432</v>
      </c>
      <c r="S56" s="13" t="s">
        <v>522</v>
      </c>
      <c r="T56" s="13" t="s">
        <v>395</v>
      </c>
      <c r="U56" s="13" t="s">
        <v>395</v>
      </c>
      <c r="V56" s="13" t="s">
        <v>395</v>
      </c>
      <c r="W56" s="13" t="s">
        <v>395</v>
      </c>
      <c r="X56" s="13" t="s">
        <v>397</v>
      </c>
      <c r="Y56" s="13" t="s">
        <v>397</v>
      </c>
      <c r="Z56" s="13" t="s">
        <v>397</v>
      </c>
      <c r="AA56" s="13" t="s">
        <v>523</v>
      </c>
      <c r="AB56" s="13" t="s">
        <v>399</v>
      </c>
    </row>
    <row r="57" spans="1:28" s="13" customFormat="1" ht="15" x14ac:dyDescent="0.25">
      <c r="A57" s="13">
        <f>VLOOKUP(E57,COTI!F:F,1,FALSE)</f>
        <v>365</v>
      </c>
      <c r="D57" s="13" t="s">
        <v>175</v>
      </c>
      <c r="E57" s="13">
        <v>365</v>
      </c>
      <c r="F57" s="13" t="s">
        <v>192</v>
      </c>
      <c r="G57" s="13">
        <v>2</v>
      </c>
      <c r="H57" s="13" t="s">
        <v>507</v>
      </c>
      <c r="I57" s="13" t="s">
        <v>387</v>
      </c>
      <c r="J57" s="13">
        <v>20070323</v>
      </c>
      <c r="K57" s="13">
        <v>62</v>
      </c>
      <c r="L57" s="13" t="s">
        <v>431</v>
      </c>
      <c r="M57" s="13" t="s">
        <v>389</v>
      </c>
      <c r="N57" s="13" t="s">
        <v>390</v>
      </c>
      <c r="O57" s="13" t="s">
        <v>391</v>
      </c>
      <c r="P57" s="13" t="s">
        <v>392</v>
      </c>
      <c r="Q57" s="13">
        <v>20070323</v>
      </c>
      <c r="R57" s="13" t="s">
        <v>432</v>
      </c>
      <c r="S57" s="13" t="s">
        <v>524</v>
      </c>
      <c r="T57" s="13" t="s">
        <v>395</v>
      </c>
      <c r="U57" s="13" t="s">
        <v>395</v>
      </c>
      <c r="V57" s="13" t="s">
        <v>395</v>
      </c>
      <c r="W57" s="13" t="s">
        <v>395</v>
      </c>
      <c r="X57" s="13" t="s">
        <v>396</v>
      </c>
      <c r="Y57" s="13" t="s">
        <v>397</v>
      </c>
      <c r="Z57" s="13" t="s">
        <v>397</v>
      </c>
      <c r="AA57" s="13">
        <v>3650001</v>
      </c>
      <c r="AB57" s="13" t="s">
        <v>399</v>
      </c>
    </row>
    <row r="58" spans="1:28" s="13" customFormat="1" ht="15" x14ac:dyDescent="0.25">
      <c r="A58" s="13" t="str">
        <f>VLOOKUP(E58,COTI!F:F,1,FALSE)</f>
        <v>CAL</v>
      </c>
      <c r="D58" s="13" t="s">
        <v>175</v>
      </c>
      <c r="E58" s="13" t="s">
        <v>190</v>
      </c>
      <c r="F58" s="13" t="s">
        <v>191</v>
      </c>
      <c r="G58" s="13">
        <v>3</v>
      </c>
      <c r="H58" s="13" t="s">
        <v>525</v>
      </c>
      <c r="I58" s="13" t="s">
        <v>387</v>
      </c>
      <c r="J58" s="13">
        <v>20130513</v>
      </c>
      <c r="K58" s="13">
        <v>61</v>
      </c>
      <c r="L58" s="13" t="s">
        <v>498</v>
      </c>
      <c r="M58" s="13" t="s">
        <v>389</v>
      </c>
      <c r="N58" s="13" t="s">
        <v>390</v>
      </c>
      <c r="O58" s="13" t="s">
        <v>391</v>
      </c>
      <c r="P58" s="13" t="s">
        <v>392</v>
      </c>
      <c r="Q58" s="13">
        <v>20130513</v>
      </c>
      <c r="R58" s="13" t="s">
        <v>526</v>
      </c>
      <c r="S58" s="13" t="s">
        <v>395</v>
      </c>
      <c r="T58" s="13" t="s">
        <v>395</v>
      </c>
      <c r="U58" s="13" t="s">
        <v>395</v>
      </c>
      <c r="V58" s="13" t="s">
        <v>395</v>
      </c>
      <c r="W58" s="13" t="s">
        <v>395</v>
      </c>
      <c r="X58" s="13" t="s">
        <v>397</v>
      </c>
      <c r="Y58" s="13" t="s">
        <v>397</v>
      </c>
      <c r="Z58" s="13" t="s">
        <v>397</v>
      </c>
      <c r="AA58" s="13" t="s">
        <v>527</v>
      </c>
      <c r="AB58" s="13" t="s">
        <v>399</v>
      </c>
    </row>
    <row r="59" spans="1:28" s="13" customFormat="1" ht="15" x14ac:dyDescent="0.25">
      <c r="A59" s="13" t="str">
        <f>VLOOKUP(E59,COTI!F:F,1,FALSE)</f>
        <v>G65</v>
      </c>
      <c r="D59" s="13" t="s">
        <v>175</v>
      </c>
      <c r="E59" s="13" t="s">
        <v>188</v>
      </c>
      <c r="F59" s="13" t="s">
        <v>189</v>
      </c>
      <c r="G59" s="13">
        <v>1</v>
      </c>
      <c r="H59" s="13" t="s">
        <v>426</v>
      </c>
      <c r="I59" s="13" t="s">
        <v>427</v>
      </c>
      <c r="J59" s="13">
        <v>20060614</v>
      </c>
      <c r="K59" s="13">
        <v>66</v>
      </c>
      <c r="L59" s="13" t="s">
        <v>528</v>
      </c>
      <c r="M59" s="13" t="s">
        <v>389</v>
      </c>
      <c r="N59" s="13" t="s">
        <v>390</v>
      </c>
      <c r="O59" s="13" t="s">
        <v>391</v>
      </c>
      <c r="P59" s="13" t="s">
        <v>392</v>
      </c>
      <c r="Q59" s="13">
        <v>20060614</v>
      </c>
      <c r="R59" s="13" t="s">
        <v>393</v>
      </c>
      <c r="S59" s="13" t="s">
        <v>529</v>
      </c>
      <c r="T59" s="13" t="s">
        <v>395</v>
      </c>
      <c r="U59" s="13" t="s">
        <v>395</v>
      </c>
      <c r="V59" s="13" t="s">
        <v>395</v>
      </c>
      <c r="W59" s="13" t="s">
        <v>395</v>
      </c>
      <c r="X59" s="13" t="s">
        <v>396</v>
      </c>
      <c r="Y59" s="13" t="s">
        <v>397</v>
      </c>
      <c r="Z59" s="13" t="s">
        <v>397</v>
      </c>
      <c r="AA59" s="13" t="s">
        <v>530</v>
      </c>
      <c r="AB59" s="13" t="s">
        <v>399</v>
      </c>
    </row>
    <row r="60" spans="1:28" s="13" customFormat="1" ht="15" x14ac:dyDescent="0.25">
      <c r="A60" s="13" t="str">
        <f>VLOOKUP(E60,COTI!F:F,1,FALSE)</f>
        <v>IUP</v>
      </c>
      <c r="D60" s="13" t="s">
        <v>175</v>
      </c>
      <c r="E60" s="13" t="s">
        <v>186</v>
      </c>
      <c r="F60" s="13" t="s">
        <v>187</v>
      </c>
      <c r="G60" s="13">
        <v>2</v>
      </c>
      <c r="H60" s="13" t="s">
        <v>531</v>
      </c>
      <c r="I60" s="13" t="s">
        <v>387</v>
      </c>
      <c r="J60" s="13">
        <v>20121120</v>
      </c>
      <c r="K60" s="13">
        <v>62</v>
      </c>
      <c r="L60" s="13" t="s">
        <v>532</v>
      </c>
      <c r="M60" s="13" t="s">
        <v>389</v>
      </c>
      <c r="N60" s="13" t="s">
        <v>390</v>
      </c>
      <c r="O60" s="13" t="s">
        <v>391</v>
      </c>
      <c r="P60" s="13" t="s">
        <v>392</v>
      </c>
      <c r="Q60" s="13">
        <v>20121205</v>
      </c>
      <c r="R60" s="13" t="s">
        <v>533</v>
      </c>
      <c r="S60" s="13" t="s">
        <v>534</v>
      </c>
      <c r="T60" s="13" t="s">
        <v>395</v>
      </c>
      <c r="U60" s="13" t="s">
        <v>395</v>
      </c>
      <c r="V60" s="13" t="s">
        <v>395</v>
      </c>
      <c r="W60" s="13" t="s">
        <v>395</v>
      </c>
      <c r="X60" s="13" t="s">
        <v>397</v>
      </c>
      <c r="Y60" s="13" t="s">
        <v>397</v>
      </c>
      <c r="Z60" s="13" t="s">
        <v>397</v>
      </c>
      <c r="AA60" s="13" t="s">
        <v>535</v>
      </c>
      <c r="AB60" s="13" t="s">
        <v>399</v>
      </c>
    </row>
    <row r="61" spans="1:28" s="13" customFormat="1" ht="15" x14ac:dyDescent="0.25">
      <c r="A61" s="13" t="str">
        <f>VLOOKUP(E61,COTI!F:F,1,FALSE)</f>
        <v>PRM</v>
      </c>
      <c r="D61" s="13" t="s">
        <v>175</v>
      </c>
      <c r="E61" s="13" t="s">
        <v>184</v>
      </c>
      <c r="F61" s="13" t="s">
        <v>185</v>
      </c>
      <c r="G61" s="13">
        <v>2</v>
      </c>
      <c r="H61" s="13" t="s">
        <v>536</v>
      </c>
      <c r="I61" s="13" t="s">
        <v>387</v>
      </c>
      <c r="J61" s="13">
        <v>20121204</v>
      </c>
      <c r="K61" s="13">
        <v>56</v>
      </c>
      <c r="L61" s="13" t="s">
        <v>532</v>
      </c>
      <c r="M61" s="13" t="s">
        <v>389</v>
      </c>
      <c r="N61" s="13" t="s">
        <v>390</v>
      </c>
      <c r="O61" s="13" t="s">
        <v>391</v>
      </c>
      <c r="P61" s="13" t="s">
        <v>392</v>
      </c>
      <c r="Q61" s="13">
        <v>20121204</v>
      </c>
      <c r="R61" s="13" t="s">
        <v>533</v>
      </c>
      <c r="S61" s="13" t="s">
        <v>534</v>
      </c>
      <c r="T61" s="13" t="s">
        <v>537</v>
      </c>
      <c r="U61" s="13" t="s">
        <v>538</v>
      </c>
      <c r="V61" s="13" t="s">
        <v>395</v>
      </c>
      <c r="W61" s="13" t="s">
        <v>395</v>
      </c>
      <c r="X61" s="13" t="s">
        <v>397</v>
      </c>
      <c r="Y61" s="13" t="s">
        <v>397</v>
      </c>
      <c r="Z61" s="13" t="s">
        <v>397</v>
      </c>
      <c r="AA61" s="13" t="s">
        <v>539</v>
      </c>
      <c r="AB61" s="13" t="s">
        <v>399</v>
      </c>
    </row>
    <row r="62" spans="1:28" s="13" customFormat="1" ht="15" x14ac:dyDescent="0.25">
      <c r="A62" s="13" t="str">
        <f>VLOOKUP(E62,COTI!F:F,1,FALSE)</f>
        <v>SH1</v>
      </c>
      <c r="D62" s="13" t="s">
        <v>175</v>
      </c>
      <c r="E62" s="13" t="s">
        <v>182</v>
      </c>
      <c r="F62" s="13" t="s">
        <v>183</v>
      </c>
      <c r="G62" s="13">
        <v>3</v>
      </c>
      <c r="H62" s="13" t="s">
        <v>540</v>
      </c>
      <c r="I62" s="13" t="s">
        <v>387</v>
      </c>
      <c r="J62" s="13">
        <v>20130514</v>
      </c>
      <c r="K62" s="13">
        <v>59</v>
      </c>
      <c r="L62" s="13" t="s">
        <v>498</v>
      </c>
      <c r="M62" s="13" t="s">
        <v>389</v>
      </c>
      <c r="N62" s="13" t="s">
        <v>390</v>
      </c>
      <c r="O62" s="13" t="s">
        <v>391</v>
      </c>
      <c r="P62" s="13" t="s">
        <v>392</v>
      </c>
      <c r="Q62" s="13">
        <v>20130514</v>
      </c>
      <c r="R62" s="13" t="s">
        <v>541</v>
      </c>
      <c r="S62" s="13" t="s">
        <v>395</v>
      </c>
      <c r="T62" s="13" t="s">
        <v>395</v>
      </c>
      <c r="U62" s="13" t="s">
        <v>395</v>
      </c>
      <c r="V62" s="13" t="s">
        <v>395</v>
      </c>
      <c r="W62" s="13" t="s">
        <v>395</v>
      </c>
      <c r="X62" s="13" t="s">
        <v>397</v>
      </c>
      <c r="Y62" s="13" t="s">
        <v>397</v>
      </c>
      <c r="Z62" s="13" t="s">
        <v>397</v>
      </c>
      <c r="AA62" s="13" t="s">
        <v>542</v>
      </c>
      <c r="AB62" s="13" t="s">
        <v>399</v>
      </c>
    </row>
    <row r="63" spans="1:28" s="13" customFormat="1" ht="15" x14ac:dyDescent="0.25">
      <c r="A63" s="13" t="str">
        <f>VLOOKUP(E63,COTI!F:F,1,FALSE)</f>
        <v>SH2</v>
      </c>
      <c r="D63" s="13" t="s">
        <v>175</v>
      </c>
      <c r="E63" s="13" t="s">
        <v>180</v>
      </c>
      <c r="F63" s="13" t="s">
        <v>181</v>
      </c>
      <c r="G63" s="13">
        <v>2</v>
      </c>
      <c r="H63" s="13" t="s">
        <v>531</v>
      </c>
      <c r="I63" s="13" t="s">
        <v>387</v>
      </c>
      <c r="J63" s="13">
        <v>20121205</v>
      </c>
      <c r="K63" s="13">
        <v>59</v>
      </c>
      <c r="L63" s="13" t="s">
        <v>532</v>
      </c>
      <c r="M63" s="13" t="s">
        <v>389</v>
      </c>
      <c r="N63" s="13" t="s">
        <v>390</v>
      </c>
      <c r="O63" s="13" t="s">
        <v>391</v>
      </c>
      <c r="P63" s="13" t="s">
        <v>392</v>
      </c>
      <c r="Q63" s="13">
        <v>20121205</v>
      </c>
      <c r="R63" s="13" t="s">
        <v>543</v>
      </c>
      <c r="S63" s="13" t="s">
        <v>534</v>
      </c>
      <c r="T63" s="13" t="s">
        <v>537</v>
      </c>
      <c r="U63" s="13" t="s">
        <v>395</v>
      </c>
      <c r="V63" s="13" t="s">
        <v>395</v>
      </c>
      <c r="W63" s="13" t="s">
        <v>395</v>
      </c>
      <c r="X63" s="13" t="s">
        <v>397</v>
      </c>
      <c r="Y63" s="13" t="s">
        <v>397</v>
      </c>
      <c r="Z63" s="13" t="s">
        <v>397</v>
      </c>
      <c r="AA63" s="13" t="s">
        <v>544</v>
      </c>
      <c r="AB63" s="13" t="s">
        <v>399</v>
      </c>
    </row>
    <row r="64" spans="1:28" s="13" customFormat="1" ht="15" x14ac:dyDescent="0.25">
      <c r="A64" s="13" t="str">
        <f>VLOOKUP(E64,COTI!F:F,1,FALSE)</f>
        <v>THL</v>
      </c>
      <c r="D64" s="13" t="s">
        <v>175</v>
      </c>
      <c r="E64" s="13" t="s">
        <v>178</v>
      </c>
      <c r="F64" s="13" t="s">
        <v>179</v>
      </c>
      <c r="G64" s="13">
        <v>20</v>
      </c>
      <c r="H64" s="13" t="s">
        <v>386</v>
      </c>
      <c r="I64" s="13" t="s">
        <v>387</v>
      </c>
      <c r="J64" s="13">
        <v>20180702</v>
      </c>
      <c r="K64" s="13">
        <v>58.5</v>
      </c>
      <c r="L64" s="13">
        <v>2019</v>
      </c>
      <c r="M64" s="13" t="s">
        <v>389</v>
      </c>
      <c r="N64" s="13" t="s">
        <v>390</v>
      </c>
      <c r="O64" s="13" t="s">
        <v>391</v>
      </c>
      <c r="P64" s="13" t="s">
        <v>392</v>
      </c>
      <c r="Q64" s="13">
        <v>20180703</v>
      </c>
      <c r="R64" s="13" t="s">
        <v>545</v>
      </c>
      <c r="S64" s="13" t="s">
        <v>399</v>
      </c>
      <c r="T64" s="13" t="s">
        <v>399</v>
      </c>
      <c r="U64" s="13" t="s">
        <v>399</v>
      </c>
      <c r="V64" s="13" t="s">
        <v>399</v>
      </c>
      <c r="W64" s="13" t="s">
        <v>399</v>
      </c>
      <c r="X64" s="13" t="s">
        <v>396</v>
      </c>
      <c r="Y64" s="13" t="s">
        <v>397</v>
      </c>
      <c r="Z64" s="13" t="s">
        <v>397</v>
      </c>
      <c r="AA64" s="13" t="s">
        <v>546</v>
      </c>
      <c r="AB64" s="13" t="s">
        <v>399</v>
      </c>
    </row>
    <row r="65" spans="1:28" s="13" customFormat="1" ht="15" x14ac:dyDescent="0.25">
      <c r="A65" s="13" t="str">
        <f>VLOOKUP(E65,COTI!F:F,1,FALSE)</f>
        <v>THO</v>
      </c>
      <c r="D65" s="13" t="s">
        <v>175</v>
      </c>
      <c r="E65" s="13" t="s">
        <v>176</v>
      </c>
      <c r="F65" s="13" t="s">
        <v>177</v>
      </c>
      <c r="G65" s="13">
        <v>18</v>
      </c>
      <c r="H65" s="13" t="s">
        <v>386</v>
      </c>
      <c r="I65" s="13" t="s">
        <v>387</v>
      </c>
      <c r="J65" s="13">
        <v>20180702</v>
      </c>
      <c r="K65" s="13">
        <v>59</v>
      </c>
      <c r="L65" s="13">
        <v>2019</v>
      </c>
      <c r="M65" s="13" t="s">
        <v>389</v>
      </c>
      <c r="N65" s="13" t="s">
        <v>390</v>
      </c>
      <c r="O65" s="13" t="s">
        <v>391</v>
      </c>
      <c r="P65" s="13" t="s">
        <v>392</v>
      </c>
      <c r="Q65" s="13">
        <v>20180703</v>
      </c>
      <c r="R65" s="13" t="s">
        <v>547</v>
      </c>
      <c r="S65" s="13" t="s">
        <v>399</v>
      </c>
      <c r="T65" s="13" t="s">
        <v>399</v>
      </c>
      <c r="U65" s="13" t="s">
        <v>399</v>
      </c>
      <c r="V65" s="13" t="s">
        <v>399</v>
      </c>
      <c r="W65" s="13" t="s">
        <v>399</v>
      </c>
      <c r="X65" s="13" t="s">
        <v>397</v>
      </c>
      <c r="Y65" s="13" t="s">
        <v>397</v>
      </c>
      <c r="Z65" s="13" t="s">
        <v>397</v>
      </c>
      <c r="AA65" s="13" t="s">
        <v>548</v>
      </c>
      <c r="AB65" s="13" t="s">
        <v>399</v>
      </c>
    </row>
    <row r="66" spans="1:28" s="13" customFormat="1" ht="15" x14ac:dyDescent="0.25">
      <c r="A66" s="13" t="str">
        <f>VLOOKUP(E66,COTI!F:F,1,FALSE)</f>
        <v>TSL</v>
      </c>
      <c r="D66" s="13" t="s">
        <v>175</v>
      </c>
      <c r="E66" s="13" t="s">
        <v>173</v>
      </c>
      <c r="F66" s="13" t="s">
        <v>174</v>
      </c>
      <c r="G66" s="13">
        <v>15</v>
      </c>
      <c r="H66" s="13" t="s">
        <v>386</v>
      </c>
      <c r="I66" s="13" t="s">
        <v>387</v>
      </c>
      <c r="J66" s="13">
        <v>20180320</v>
      </c>
      <c r="K66" s="13">
        <v>59</v>
      </c>
      <c r="L66" s="13" t="s">
        <v>549</v>
      </c>
      <c r="M66" s="13" t="s">
        <v>389</v>
      </c>
      <c r="N66" s="13" t="s">
        <v>390</v>
      </c>
      <c r="O66" s="13" t="s">
        <v>391</v>
      </c>
      <c r="P66" s="13" t="s">
        <v>392</v>
      </c>
      <c r="Q66" s="13">
        <v>20180320</v>
      </c>
      <c r="R66" s="13" t="s">
        <v>550</v>
      </c>
      <c r="S66" s="13" t="s">
        <v>399</v>
      </c>
      <c r="T66" s="13" t="s">
        <v>399</v>
      </c>
      <c r="U66" s="13" t="s">
        <v>399</v>
      </c>
      <c r="V66" s="13" t="s">
        <v>399</v>
      </c>
      <c r="W66" s="13" t="s">
        <v>399</v>
      </c>
      <c r="X66" s="13" t="s">
        <v>396</v>
      </c>
      <c r="Y66" s="13" t="s">
        <v>397</v>
      </c>
      <c r="Z66" s="13" t="s">
        <v>397</v>
      </c>
      <c r="AA66" s="13" t="s">
        <v>551</v>
      </c>
      <c r="AB66" s="13" t="s">
        <v>399</v>
      </c>
    </row>
    <row r="67" spans="1:28" s="13" customFormat="1" ht="15" x14ac:dyDescent="0.25">
      <c r="A67" s="13" t="str">
        <f>VLOOKUP(E67,COTI!F:F,1,FALSE)</f>
        <v>GMC</v>
      </c>
      <c r="D67" s="13" t="s">
        <v>136</v>
      </c>
      <c r="E67" s="13" t="s">
        <v>171</v>
      </c>
      <c r="F67" s="13" t="s">
        <v>172</v>
      </c>
      <c r="G67" s="13">
        <v>6</v>
      </c>
      <c r="H67" s="13" t="s">
        <v>386</v>
      </c>
      <c r="I67" s="13" t="s">
        <v>387</v>
      </c>
      <c r="J67" s="13">
        <v>20080617</v>
      </c>
      <c r="K67" s="13">
        <v>61</v>
      </c>
      <c r="L67" s="13" t="s">
        <v>388</v>
      </c>
      <c r="M67" s="13" t="s">
        <v>389</v>
      </c>
      <c r="N67" s="13" t="s">
        <v>390</v>
      </c>
      <c r="O67" s="13" t="s">
        <v>391</v>
      </c>
      <c r="P67" s="13" t="s">
        <v>392</v>
      </c>
      <c r="Q67" s="13">
        <v>20080617</v>
      </c>
      <c r="R67" s="13" t="s">
        <v>393</v>
      </c>
      <c r="S67" s="13" t="s">
        <v>552</v>
      </c>
      <c r="T67" s="13" t="s">
        <v>395</v>
      </c>
      <c r="U67" s="13" t="s">
        <v>395</v>
      </c>
      <c r="V67" s="13" t="s">
        <v>395</v>
      </c>
      <c r="W67" s="13" t="s">
        <v>395</v>
      </c>
      <c r="X67" s="13" t="s">
        <v>397</v>
      </c>
      <c r="Y67" s="13" t="s">
        <v>397</v>
      </c>
      <c r="Z67" s="13" t="s">
        <v>397</v>
      </c>
      <c r="AA67" s="13" t="s">
        <v>553</v>
      </c>
      <c r="AB67" s="13" t="s">
        <v>399</v>
      </c>
    </row>
    <row r="68" spans="1:28" s="13" customFormat="1" ht="15" x14ac:dyDescent="0.25">
      <c r="A68" s="13" t="str">
        <f>VLOOKUP(E68,COTI!F:F,1,FALSE)</f>
        <v>GX1</v>
      </c>
      <c r="D68" s="13" t="s">
        <v>136</v>
      </c>
      <c r="E68" s="13" t="s">
        <v>169</v>
      </c>
      <c r="F68" s="13" t="s">
        <v>170</v>
      </c>
      <c r="G68" s="13">
        <v>7</v>
      </c>
      <c r="H68" s="13" t="s">
        <v>456</v>
      </c>
      <c r="I68" s="13" t="s">
        <v>387</v>
      </c>
      <c r="J68" s="13">
        <v>20070508</v>
      </c>
      <c r="K68" s="13">
        <v>58</v>
      </c>
      <c r="L68" s="13" t="s">
        <v>388</v>
      </c>
      <c r="M68" s="13" t="s">
        <v>389</v>
      </c>
      <c r="N68" s="13" t="s">
        <v>390</v>
      </c>
      <c r="O68" s="13" t="s">
        <v>391</v>
      </c>
      <c r="P68" s="13" t="s">
        <v>392</v>
      </c>
      <c r="Q68" s="13">
        <v>20070508</v>
      </c>
      <c r="R68" s="13" t="s">
        <v>393</v>
      </c>
      <c r="S68" s="13" t="s">
        <v>554</v>
      </c>
      <c r="T68" s="13" t="s">
        <v>395</v>
      </c>
      <c r="U68" s="13" t="s">
        <v>395</v>
      </c>
      <c r="V68" s="13" t="s">
        <v>395</v>
      </c>
      <c r="W68" s="13" t="s">
        <v>395</v>
      </c>
      <c r="X68" s="13" t="s">
        <v>397</v>
      </c>
      <c r="Y68" s="13" t="s">
        <v>397</v>
      </c>
      <c r="Z68" s="13" t="s">
        <v>397</v>
      </c>
      <c r="AA68" s="13" t="s">
        <v>555</v>
      </c>
      <c r="AB68" s="13" t="s">
        <v>399</v>
      </c>
    </row>
    <row r="69" spans="1:28" s="13" customFormat="1" ht="15" x14ac:dyDescent="0.25">
      <c r="A69" s="13" t="str">
        <f>VLOOKUP(E69,COTI!F:F,1,FALSE)</f>
        <v>GXS</v>
      </c>
      <c r="D69" s="13" t="s">
        <v>136</v>
      </c>
      <c r="E69" s="13" t="s">
        <v>167</v>
      </c>
      <c r="F69" s="13" t="s">
        <v>168</v>
      </c>
      <c r="G69" s="13">
        <v>8</v>
      </c>
      <c r="H69" s="13" t="s">
        <v>507</v>
      </c>
      <c r="I69" s="13" t="s">
        <v>387</v>
      </c>
      <c r="J69" s="13">
        <v>20080623</v>
      </c>
      <c r="K69" s="13">
        <v>61</v>
      </c>
      <c r="L69" s="13" t="s">
        <v>388</v>
      </c>
      <c r="M69" s="13" t="s">
        <v>389</v>
      </c>
      <c r="N69" s="13" t="s">
        <v>390</v>
      </c>
      <c r="O69" s="13" t="s">
        <v>391</v>
      </c>
      <c r="P69" s="13" t="s">
        <v>392</v>
      </c>
      <c r="Q69" s="13">
        <v>20080623</v>
      </c>
      <c r="R69" s="13" t="s">
        <v>393</v>
      </c>
      <c r="S69" s="13" t="s">
        <v>556</v>
      </c>
      <c r="T69" s="13" t="s">
        <v>395</v>
      </c>
      <c r="U69" s="13" t="s">
        <v>395</v>
      </c>
      <c r="V69" s="13" t="s">
        <v>395</v>
      </c>
      <c r="W69" s="13" t="s">
        <v>395</v>
      </c>
      <c r="X69" s="13" t="s">
        <v>397</v>
      </c>
      <c r="Y69" s="13" t="s">
        <v>397</v>
      </c>
      <c r="Z69" s="13" t="s">
        <v>397</v>
      </c>
      <c r="AA69" s="13" t="s">
        <v>557</v>
      </c>
      <c r="AB69" s="13" t="s">
        <v>399</v>
      </c>
    </row>
    <row r="70" spans="1:28" s="13" customFormat="1" ht="15" x14ac:dyDescent="0.25">
      <c r="A70" s="13" t="str">
        <f>VLOOKUP(E70,COTI!F:F,1,FALSE)</f>
        <v>HRM</v>
      </c>
      <c r="D70" s="13" t="s">
        <v>136</v>
      </c>
      <c r="E70" s="13" t="s">
        <v>165</v>
      </c>
      <c r="F70" s="13" t="s">
        <v>166</v>
      </c>
      <c r="G70" s="13">
        <v>2</v>
      </c>
      <c r="H70" s="13" t="s">
        <v>558</v>
      </c>
      <c r="I70" s="13" t="s">
        <v>387</v>
      </c>
      <c r="J70" s="13">
        <v>20090609</v>
      </c>
      <c r="K70" s="13">
        <v>56</v>
      </c>
      <c r="L70" s="13" t="s">
        <v>431</v>
      </c>
      <c r="M70" s="13" t="s">
        <v>389</v>
      </c>
      <c r="N70" s="13" t="s">
        <v>390</v>
      </c>
      <c r="O70" s="13" t="s">
        <v>391</v>
      </c>
      <c r="P70" s="13" t="s">
        <v>392</v>
      </c>
      <c r="Q70" s="13">
        <v>20090609</v>
      </c>
      <c r="R70" s="13" t="s">
        <v>432</v>
      </c>
      <c r="S70" s="13" t="s">
        <v>559</v>
      </c>
      <c r="T70" s="13" t="s">
        <v>395</v>
      </c>
      <c r="U70" s="13" t="s">
        <v>395</v>
      </c>
      <c r="V70" s="13" t="s">
        <v>395</v>
      </c>
      <c r="W70" s="13" t="s">
        <v>395</v>
      </c>
      <c r="X70" s="13" t="s">
        <v>397</v>
      </c>
      <c r="Y70" s="13" t="s">
        <v>397</v>
      </c>
      <c r="Z70" s="13" t="s">
        <v>397</v>
      </c>
      <c r="AA70" s="13" t="s">
        <v>560</v>
      </c>
      <c r="AB70" s="13" t="s">
        <v>399</v>
      </c>
    </row>
    <row r="71" spans="1:28" s="13" customFormat="1" ht="15" x14ac:dyDescent="0.25">
      <c r="A71" s="13" t="str">
        <f>VLOOKUP(E71,COTI!F:F,1,FALSE)</f>
        <v>MAZ</v>
      </c>
      <c r="D71" s="13" t="s">
        <v>136</v>
      </c>
      <c r="E71" s="13" t="s">
        <v>163</v>
      </c>
      <c r="F71" s="13" t="s">
        <v>164</v>
      </c>
      <c r="G71" s="13">
        <v>5</v>
      </c>
      <c r="H71" s="13" t="s">
        <v>507</v>
      </c>
      <c r="I71" s="13" t="s">
        <v>387</v>
      </c>
      <c r="J71" s="13">
        <v>20090708</v>
      </c>
      <c r="K71" s="13">
        <v>63</v>
      </c>
      <c r="L71" s="13" t="s">
        <v>388</v>
      </c>
      <c r="M71" s="13" t="s">
        <v>389</v>
      </c>
      <c r="N71" s="13" t="s">
        <v>390</v>
      </c>
      <c r="O71" s="13" t="s">
        <v>391</v>
      </c>
      <c r="P71" s="13" t="s">
        <v>392</v>
      </c>
      <c r="Q71" s="13">
        <v>20090708</v>
      </c>
      <c r="R71" s="13" t="s">
        <v>393</v>
      </c>
      <c r="S71" s="13" t="s">
        <v>561</v>
      </c>
      <c r="T71" s="13" t="s">
        <v>395</v>
      </c>
      <c r="U71" s="13" t="s">
        <v>395</v>
      </c>
      <c r="V71" s="13" t="s">
        <v>395</v>
      </c>
      <c r="W71" s="13" t="s">
        <v>395</v>
      </c>
      <c r="X71" s="13" t="s">
        <v>397</v>
      </c>
      <c r="Y71" s="13" t="s">
        <v>397</v>
      </c>
      <c r="Z71" s="13" t="s">
        <v>397</v>
      </c>
      <c r="AA71" s="13" t="s">
        <v>562</v>
      </c>
      <c r="AB71" s="13" t="s">
        <v>399</v>
      </c>
    </row>
    <row r="72" spans="1:28" s="13" customFormat="1" ht="15" x14ac:dyDescent="0.25">
      <c r="A72" s="13" t="str">
        <f>VLOOKUP(E72,COTI!F:F,1,FALSE)</f>
        <v>PL1</v>
      </c>
      <c r="D72" s="13" t="s">
        <v>136</v>
      </c>
      <c r="E72" s="13" t="s">
        <v>159</v>
      </c>
      <c r="F72" s="13" t="s">
        <v>160</v>
      </c>
      <c r="G72" s="13">
        <v>5</v>
      </c>
      <c r="H72" s="13" t="s">
        <v>563</v>
      </c>
      <c r="I72" s="13" t="s">
        <v>387</v>
      </c>
      <c r="J72" s="13">
        <v>20110831</v>
      </c>
      <c r="K72" s="13">
        <v>62.5</v>
      </c>
      <c r="L72" s="13" t="s">
        <v>388</v>
      </c>
      <c r="M72" s="13" t="s">
        <v>389</v>
      </c>
      <c r="N72" s="13" t="s">
        <v>390</v>
      </c>
      <c r="O72" s="13" t="s">
        <v>391</v>
      </c>
      <c r="P72" s="13" t="s">
        <v>392</v>
      </c>
      <c r="Q72" s="13">
        <v>20110831</v>
      </c>
      <c r="R72" s="13" t="s">
        <v>393</v>
      </c>
      <c r="S72" s="13" t="s">
        <v>564</v>
      </c>
      <c r="T72" s="13" t="s">
        <v>395</v>
      </c>
      <c r="U72" s="13" t="s">
        <v>395</v>
      </c>
      <c r="V72" s="13" t="s">
        <v>395</v>
      </c>
      <c r="W72" s="13" t="s">
        <v>395</v>
      </c>
      <c r="X72" s="13" t="s">
        <v>397</v>
      </c>
      <c r="Y72" s="13" t="s">
        <v>397</v>
      </c>
      <c r="Z72" s="13" t="s">
        <v>397</v>
      </c>
      <c r="AA72" s="13" t="s">
        <v>565</v>
      </c>
      <c r="AB72" s="13" t="s">
        <v>399</v>
      </c>
    </row>
    <row r="73" spans="1:28" s="13" customFormat="1" ht="15" x14ac:dyDescent="0.25">
      <c r="A73" s="13" t="str">
        <f>VLOOKUP(E73,COTI!F:F,1,FALSE)</f>
        <v>PLA</v>
      </c>
      <c r="D73" s="13" t="s">
        <v>136</v>
      </c>
      <c r="E73" s="13" t="s">
        <v>157</v>
      </c>
      <c r="F73" s="13" t="s">
        <v>158</v>
      </c>
      <c r="G73" s="13">
        <v>2</v>
      </c>
      <c r="H73" s="13" t="s">
        <v>566</v>
      </c>
      <c r="I73" s="13" t="s">
        <v>387</v>
      </c>
      <c r="J73" s="13">
        <v>20110927</v>
      </c>
      <c r="K73" s="13">
        <v>62</v>
      </c>
      <c r="L73" s="13" t="s">
        <v>431</v>
      </c>
      <c r="M73" s="13" t="s">
        <v>389</v>
      </c>
      <c r="N73" s="13" t="s">
        <v>390</v>
      </c>
      <c r="O73" s="13" t="s">
        <v>391</v>
      </c>
      <c r="P73" s="13" t="s">
        <v>392</v>
      </c>
      <c r="Q73" s="13">
        <v>20111114</v>
      </c>
      <c r="R73" s="13" t="s">
        <v>432</v>
      </c>
      <c r="S73" s="13" t="s">
        <v>567</v>
      </c>
      <c r="T73" s="13" t="s">
        <v>395</v>
      </c>
      <c r="U73" s="13" t="s">
        <v>395</v>
      </c>
      <c r="V73" s="13" t="s">
        <v>395</v>
      </c>
      <c r="W73" s="13" t="s">
        <v>395</v>
      </c>
      <c r="X73" s="13" t="s">
        <v>397</v>
      </c>
      <c r="Y73" s="13" t="s">
        <v>397</v>
      </c>
      <c r="Z73" s="13" t="s">
        <v>397</v>
      </c>
      <c r="AA73" s="13" t="s">
        <v>568</v>
      </c>
      <c r="AB73" s="13" t="s">
        <v>399</v>
      </c>
    </row>
    <row r="74" spans="1:28" s="13" customFormat="1" ht="15" x14ac:dyDescent="0.25">
      <c r="A74" s="13" t="str">
        <f>VLOOKUP(E74,COTI!F:F,1,FALSE)</f>
        <v>U37</v>
      </c>
      <c r="D74" s="13" t="s">
        <v>136</v>
      </c>
      <c r="E74" s="13" t="s">
        <v>147</v>
      </c>
      <c r="F74" s="13" t="s">
        <v>148</v>
      </c>
      <c r="G74" s="13">
        <v>16</v>
      </c>
      <c r="H74" s="13" t="s">
        <v>569</v>
      </c>
      <c r="I74" s="13" t="s">
        <v>387</v>
      </c>
      <c r="J74" s="13">
        <v>20090626</v>
      </c>
      <c r="K74" s="13">
        <v>61</v>
      </c>
      <c r="L74" s="13" t="s">
        <v>388</v>
      </c>
      <c r="M74" s="13" t="s">
        <v>389</v>
      </c>
      <c r="N74" s="13" t="s">
        <v>390</v>
      </c>
      <c r="O74" s="13" t="s">
        <v>391</v>
      </c>
      <c r="P74" s="13" t="s">
        <v>392</v>
      </c>
      <c r="Q74" s="13">
        <v>20090626</v>
      </c>
      <c r="R74" s="13" t="s">
        <v>393</v>
      </c>
      <c r="S74" s="13" t="s">
        <v>570</v>
      </c>
      <c r="T74" s="13" t="s">
        <v>395</v>
      </c>
      <c r="U74" s="13" t="s">
        <v>395</v>
      </c>
      <c r="V74" s="13" t="s">
        <v>395</v>
      </c>
      <c r="W74" s="13" t="s">
        <v>395</v>
      </c>
      <c r="X74" s="13" t="s">
        <v>397</v>
      </c>
      <c r="Y74" s="13" t="s">
        <v>397</v>
      </c>
      <c r="Z74" s="13" t="s">
        <v>397</v>
      </c>
      <c r="AA74" s="13" t="s">
        <v>571</v>
      </c>
      <c r="AB74" s="13" t="s">
        <v>399</v>
      </c>
    </row>
    <row r="75" spans="1:28" s="13" customFormat="1" ht="15" x14ac:dyDescent="0.25">
      <c r="A75" s="13" t="str">
        <f>VLOOKUP(E75,COTI!F:F,1,FALSE)</f>
        <v>U3L</v>
      </c>
      <c r="D75" s="13" t="s">
        <v>136</v>
      </c>
      <c r="E75" s="13" t="s">
        <v>145</v>
      </c>
      <c r="F75" s="13" t="s">
        <v>146</v>
      </c>
      <c r="G75" s="13">
        <v>10</v>
      </c>
      <c r="H75" s="13" t="s">
        <v>386</v>
      </c>
      <c r="I75" s="13" t="s">
        <v>387</v>
      </c>
      <c r="J75" s="13">
        <v>20061002</v>
      </c>
      <c r="K75" s="13">
        <v>60</v>
      </c>
      <c r="L75" s="13" t="s">
        <v>388</v>
      </c>
      <c r="M75" s="13" t="s">
        <v>389</v>
      </c>
      <c r="N75" s="13" t="s">
        <v>390</v>
      </c>
      <c r="O75" s="13" t="s">
        <v>391</v>
      </c>
      <c r="P75" s="13" t="s">
        <v>392</v>
      </c>
      <c r="Q75" s="13">
        <v>20061002</v>
      </c>
      <c r="R75" s="13" t="s">
        <v>393</v>
      </c>
      <c r="S75" s="13" t="s">
        <v>572</v>
      </c>
      <c r="T75" s="13" t="s">
        <v>395</v>
      </c>
      <c r="U75" s="13" t="s">
        <v>395</v>
      </c>
      <c r="V75" s="13" t="s">
        <v>395</v>
      </c>
      <c r="W75" s="13" t="s">
        <v>395</v>
      </c>
      <c r="X75" s="13" t="s">
        <v>397</v>
      </c>
      <c r="Y75" s="13" t="s">
        <v>397</v>
      </c>
      <c r="Z75" s="13" t="s">
        <v>397</v>
      </c>
      <c r="AA75" s="13" t="s">
        <v>573</v>
      </c>
      <c r="AB75" s="13" t="s">
        <v>399</v>
      </c>
    </row>
    <row r="76" spans="1:28" s="13" customFormat="1" ht="15" x14ac:dyDescent="0.25">
      <c r="A76" s="13" t="str">
        <f>VLOOKUP(E76,COTI!F:F,1,FALSE)</f>
        <v>U3M</v>
      </c>
      <c r="D76" s="13" t="s">
        <v>136</v>
      </c>
      <c r="E76" s="13" t="s">
        <v>143</v>
      </c>
      <c r="F76" s="13" t="s">
        <v>144</v>
      </c>
      <c r="G76" s="13">
        <v>11</v>
      </c>
      <c r="H76" s="13" t="s">
        <v>569</v>
      </c>
      <c r="I76" s="13" t="s">
        <v>387</v>
      </c>
      <c r="J76" s="13">
        <v>20090626</v>
      </c>
      <c r="K76" s="13">
        <v>61.5</v>
      </c>
      <c r="L76" s="13" t="s">
        <v>388</v>
      </c>
      <c r="M76" s="13" t="s">
        <v>389</v>
      </c>
      <c r="N76" s="13" t="s">
        <v>390</v>
      </c>
      <c r="O76" s="13" t="s">
        <v>391</v>
      </c>
      <c r="P76" s="13" t="s">
        <v>392</v>
      </c>
      <c r="Q76" s="13">
        <v>20090626</v>
      </c>
      <c r="R76" s="13" t="s">
        <v>393</v>
      </c>
      <c r="S76" s="13" t="s">
        <v>570</v>
      </c>
      <c r="T76" s="13" t="s">
        <v>395</v>
      </c>
      <c r="U76" s="13" t="s">
        <v>395</v>
      </c>
      <c r="V76" s="13" t="s">
        <v>395</v>
      </c>
      <c r="W76" s="13" t="s">
        <v>395</v>
      </c>
      <c r="X76" s="13" t="s">
        <v>397</v>
      </c>
      <c r="Y76" s="13" t="s">
        <v>397</v>
      </c>
      <c r="Z76" s="13" t="s">
        <v>397</v>
      </c>
      <c r="AA76" s="13" t="s">
        <v>574</v>
      </c>
      <c r="AB76" s="13" t="s">
        <v>399</v>
      </c>
    </row>
    <row r="77" spans="1:28" s="13" customFormat="1" ht="15" x14ac:dyDescent="0.25">
      <c r="A77" s="13" t="str">
        <f>VLOOKUP(E77,COTI!F:F,1,FALSE)</f>
        <v>U3P</v>
      </c>
      <c r="D77" s="13" t="s">
        <v>136</v>
      </c>
      <c r="E77" s="13" t="s">
        <v>141</v>
      </c>
      <c r="F77" s="13" t="s">
        <v>142</v>
      </c>
      <c r="G77" s="13">
        <v>2</v>
      </c>
      <c r="H77" s="13" t="s">
        <v>386</v>
      </c>
      <c r="I77" s="13" t="s">
        <v>387</v>
      </c>
      <c r="J77" s="13">
        <v>20060925</v>
      </c>
      <c r="K77" s="13">
        <v>60</v>
      </c>
      <c r="L77" s="13" t="s">
        <v>388</v>
      </c>
      <c r="M77" s="13" t="s">
        <v>389</v>
      </c>
      <c r="N77" s="13" t="s">
        <v>390</v>
      </c>
      <c r="O77" s="13" t="s">
        <v>391</v>
      </c>
      <c r="P77" s="13" t="s">
        <v>392</v>
      </c>
      <c r="Q77" s="13">
        <v>20060925</v>
      </c>
      <c r="R77" s="13" t="s">
        <v>393</v>
      </c>
      <c r="S77" s="13" t="s">
        <v>575</v>
      </c>
      <c r="T77" s="13" t="s">
        <v>395</v>
      </c>
      <c r="U77" s="13" t="s">
        <v>395</v>
      </c>
      <c r="V77" s="13" t="s">
        <v>395</v>
      </c>
      <c r="W77" s="13" t="s">
        <v>395</v>
      </c>
      <c r="X77" s="13" t="s">
        <v>397</v>
      </c>
      <c r="Y77" s="13" t="s">
        <v>397</v>
      </c>
      <c r="Z77" s="13" t="s">
        <v>397</v>
      </c>
      <c r="AA77" s="13" t="s">
        <v>576</v>
      </c>
      <c r="AB77" s="13" t="s">
        <v>399</v>
      </c>
    </row>
    <row r="78" spans="1:28" s="13" customFormat="1" ht="15" x14ac:dyDescent="0.25">
      <c r="A78" s="13" t="str">
        <f>VLOOKUP(E78,COTI!F:F,1,FALSE)</f>
        <v>U55</v>
      </c>
      <c r="D78" s="13" t="s">
        <v>136</v>
      </c>
      <c r="E78" s="13" t="s">
        <v>139</v>
      </c>
      <c r="F78" s="13" t="s">
        <v>140</v>
      </c>
      <c r="G78" s="13">
        <v>3</v>
      </c>
      <c r="H78" s="13" t="s">
        <v>386</v>
      </c>
      <c r="I78" s="13" t="s">
        <v>387</v>
      </c>
      <c r="J78" s="13">
        <v>20181017</v>
      </c>
      <c r="K78" s="13">
        <v>96</v>
      </c>
      <c r="L78" s="13" t="s">
        <v>577</v>
      </c>
      <c r="M78" s="13" t="s">
        <v>389</v>
      </c>
      <c r="N78" s="13" t="s">
        <v>390</v>
      </c>
      <c r="O78" s="13" t="s">
        <v>391</v>
      </c>
      <c r="P78" s="13" t="s">
        <v>392</v>
      </c>
      <c r="Q78" s="13">
        <v>20181017</v>
      </c>
      <c r="R78" s="13">
        <v>97403</v>
      </c>
      <c r="S78" s="13" t="s">
        <v>399</v>
      </c>
      <c r="T78" s="13" t="s">
        <v>399</v>
      </c>
      <c r="U78" s="13" t="s">
        <v>399</v>
      </c>
      <c r="V78" s="13" t="s">
        <v>399</v>
      </c>
      <c r="W78" s="13" t="s">
        <v>399</v>
      </c>
      <c r="X78" s="13" t="s">
        <v>396</v>
      </c>
      <c r="Y78" s="13" t="s">
        <v>397</v>
      </c>
      <c r="Z78" s="13" t="s">
        <v>397</v>
      </c>
      <c r="AA78" s="13" t="s">
        <v>578</v>
      </c>
      <c r="AB78" s="13" t="s">
        <v>399</v>
      </c>
    </row>
    <row r="79" spans="1:28" s="13" customFormat="1" ht="15" x14ac:dyDescent="0.25">
      <c r="A79" s="13" t="str">
        <f>VLOOKUP(E79,COTI!F:F,1,FALSE)</f>
        <v>U77</v>
      </c>
      <c r="D79" s="13" t="s">
        <v>136</v>
      </c>
      <c r="E79" s="13" t="s">
        <v>137</v>
      </c>
      <c r="F79" s="13" t="s">
        <v>138</v>
      </c>
      <c r="G79" s="13">
        <v>20</v>
      </c>
      <c r="H79" s="13" t="s">
        <v>579</v>
      </c>
      <c r="I79" s="13" t="s">
        <v>387</v>
      </c>
      <c r="J79" s="13">
        <v>20101109</v>
      </c>
      <c r="K79" s="13">
        <v>62</v>
      </c>
      <c r="L79" s="13" t="s">
        <v>388</v>
      </c>
      <c r="M79" s="13" t="s">
        <v>389</v>
      </c>
      <c r="N79" s="13" t="s">
        <v>390</v>
      </c>
      <c r="O79" s="13" t="s">
        <v>391</v>
      </c>
      <c r="P79" s="13" t="s">
        <v>392</v>
      </c>
      <c r="Q79" s="13">
        <v>20101109</v>
      </c>
      <c r="R79" s="13" t="s">
        <v>393</v>
      </c>
      <c r="S79" s="13" t="s">
        <v>580</v>
      </c>
      <c r="T79" s="13" t="s">
        <v>395</v>
      </c>
      <c r="U79" s="13" t="s">
        <v>395</v>
      </c>
      <c r="V79" s="13" t="s">
        <v>395</v>
      </c>
      <c r="W79" s="13" t="s">
        <v>395</v>
      </c>
      <c r="X79" s="13" t="s">
        <v>397</v>
      </c>
      <c r="Y79" s="13" t="s">
        <v>397</v>
      </c>
      <c r="Z79" s="13" t="s">
        <v>397</v>
      </c>
      <c r="AA79" s="13" t="s">
        <v>581</v>
      </c>
      <c r="AB79" s="13" t="s">
        <v>399</v>
      </c>
    </row>
    <row r="80" spans="1:28" x14ac:dyDescent="0.2">
      <c r="A80" t="str">
        <f>VLOOKUP(E80,COTI!F:F,1,FALSE)</f>
        <v>W7A</v>
      </c>
      <c r="D80" t="s">
        <v>105</v>
      </c>
      <c r="E80" t="s">
        <v>132</v>
      </c>
      <c r="F80" t="s">
        <v>133</v>
      </c>
      <c r="G80">
        <v>7</v>
      </c>
      <c r="H80" t="s">
        <v>582</v>
      </c>
      <c r="I80" t="s">
        <v>387</v>
      </c>
      <c r="J80">
        <v>20210812</v>
      </c>
      <c r="K80">
        <v>48</v>
      </c>
      <c r="L80" t="s">
        <v>388</v>
      </c>
      <c r="M80" t="s">
        <v>389</v>
      </c>
      <c r="N80" t="s">
        <v>390</v>
      </c>
      <c r="O80" t="s">
        <v>391</v>
      </c>
      <c r="P80" t="s">
        <v>392</v>
      </c>
      <c r="Q80">
        <v>20210812</v>
      </c>
      <c r="R80" t="s">
        <v>583</v>
      </c>
      <c r="S80" t="s">
        <v>395</v>
      </c>
      <c r="T80" t="s">
        <v>395</v>
      </c>
      <c r="U80" t="s">
        <v>395</v>
      </c>
      <c r="V80" t="s">
        <v>395</v>
      </c>
      <c r="W80" t="s">
        <v>584</v>
      </c>
      <c r="X80" t="s">
        <v>399</v>
      </c>
      <c r="Y80" t="s">
        <v>399</v>
      </c>
      <c r="Z80" t="s">
        <v>397</v>
      </c>
      <c r="AA80" t="s">
        <v>585</v>
      </c>
      <c r="AB80" t="s">
        <v>399</v>
      </c>
    </row>
    <row r="81" spans="1:28" x14ac:dyDescent="0.2">
      <c r="A81" t="str">
        <f>VLOOKUP(E81,COTI!F:F,1,FALSE)</f>
        <v>W7B</v>
      </c>
      <c r="D81" t="s">
        <v>105</v>
      </c>
      <c r="E81" t="s">
        <v>130</v>
      </c>
      <c r="F81" t="s">
        <v>131</v>
      </c>
      <c r="G81">
        <v>9</v>
      </c>
      <c r="H81" t="s">
        <v>582</v>
      </c>
      <c r="I81" t="s">
        <v>387</v>
      </c>
      <c r="J81">
        <v>20210812</v>
      </c>
      <c r="K81">
        <v>43.7</v>
      </c>
      <c r="L81" t="s">
        <v>388</v>
      </c>
      <c r="M81" t="s">
        <v>389</v>
      </c>
      <c r="N81" t="s">
        <v>390</v>
      </c>
      <c r="O81" t="s">
        <v>391</v>
      </c>
      <c r="P81" t="s">
        <v>392</v>
      </c>
      <c r="Q81">
        <v>20210812</v>
      </c>
      <c r="R81" t="s">
        <v>583</v>
      </c>
      <c r="S81" t="s">
        <v>395</v>
      </c>
      <c r="T81" t="s">
        <v>395</v>
      </c>
      <c r="U81" t="s">
        <v>395</v>
      </c>
      <c r="V81" t="s">
        <v>395</v>
      </c>
      <c r="W81" t="s">
        <v>586</v>
      </c>
      <c r="X81" t="s">
        <v>399</v>
      </c>
      <c r="Y81" t="s">
        <v>399</v>
      </c>
      <c r="Z81" t="s">
        <v>397</v>
      </c>
      <c r="AA81" t="s">
        <v>587</v>
      </c>
      <c r="AB81" t="s">
        <v>399</v>
      </c>
    </row>
    <row r="82" spans="1:28" x14ac:dyDescent="0.2">
      <c r="A82" t="str">
        <f>VLOOKUP(E82,COTI!F:F,1,FALSE)</f>
        <v>W7C</v>
      </c>
      <c r="D82" t="s">
        <v>105</v>
      </c>
      <c r="E82" t="s">
        <v>128</v>
      </c>
      <c r="F82" t="s">
        <v>129</v>
      </c>
      <c r="G82">
        <v>7</v>
      </c>
      <c r="H82" t="s">
        <v>588</v>
      </c>
      <c r="I82" t="s">
        <v>387</v>
      </c>
      <c r="J82">
        <v>20210722</v>
      </c>
      <c r="K82">
        <v>43.7</v>
      </c>
      <c r="L82" t="s">
        <v>388</v>
      </c>
      <c r="M82" t="s">
        <v>389</v>
      </c>
      <c r="N82" t="s">
        <v>390</v>
      </c>
      <c r="O82" t="s">
        <v>391</v>
      </c>
      <c r="P82" t="s">
        <v>392</v>
      </c>
      <c r="Q82">
        <v>20210722</v>
      </c>
      <c r="R82" t="s">
        <v>589</v>
      </c>
      <c r="S82" t="s">
        <v>395</v>
      </c>
      <c r="T82" t="s">
        <v>395</v>
      </c>
      <c r="U82" t="s">
        <v>395</v>
      </c>
      <c r="V82" t="s">
        <v>395</v>
      </c>
      <c r="W82" t="s">
        <v>590</v>
      </c>
      <c r="X82" t="s">
        <v>397</v>
      </c>
      <c r="Y82" t="s">
        <v>399</v>
      </c>
      <c r="Z82" t="s">
        <v>397</v>
      </c>
      <c r="AA82" t="s">
        <v>591</v>
      </c>
      <c r="AB82" t="s">
        <v>399</v>
      </c>
    </row>
    <row r="83" spans="1:28" x14ac:dyDescent="0.2">
      <c r="A83" t="str">
        <f>VLOOKUP(E83,COTI!F:F,1,FALSE)</f>
        <v>W7D</v>
      </c>
      <c r="D83" t="s">
        <v>105</v>
      </c>
      <c r="E83" t="s">
        <v>126</v>
      </c>
      <c r="F83" t="s">
        <v>127</v>
      </c>
      <c r="G83">
        <v>8</v>
      </c>
      <c r="H83" t="s">
        <v>407</v>
      </c>
      <c r="I83" t="s">
        <v>387</v>
      </c>
      <c r="J83">
        <v>20210708</v>
      </c>
      <c r="K83">
        <v>45.2</v>
      </c>
      <c r="L83" t="s">
        <v>388</v>
      </c>
      <c r="M83" t="s">
        <v>389</v>
      </c>
      <c r="N83" t="s">
        <v>390</v>
      </c>
      <c r="O83" t="s">
        <v>391</v>
      </c>
      <c r="P83" t="s">
        <v>392</v>
      </c>
      <c r="Q83">
        <v>20210708</v>
      </c>
      <c r="R83" t="s">
        <v>592</v>
      </c>
      <c r="S83" t="s">
        <v>395</v>
      </c>
      <c r="T83" t="s">
        <v>395</v>
      </c>
      <c r="U83" t="s">
        <v>395</v>
      </c>
      <c r="V83" t="s">
        <v>395</v>
      </c>
      <c r="W83" t="s">
        <v>593</v>
      </c>
      <c r="X83" t="s">
        <v>397</v>
      </c>
      <c r="Y83" t="s">
        <v>399</v>
      </c>
      <c r="Z83" t="s">
        <v>397</v>
      </c>
      <c r="AA83" t="s">
        <v>594</v>
      </c>
      <c r="AB83" t="s">
        <v>399</v>
      </c>
    </row>
    <row r="84" spans="1:28" x14ac:dyDescent="0.2">
      <c r="A84" t="str">
        <f>VLOOKUP(E84,COTI!F:F,1,FALSE)</f>
        <v>W7E</v>
      </c>
      <c r="D84" t="s">
        <v>105</v>
      </c>
      <c r="E84" t="s">
        <v>124</v>
      </c>
      <c r="F84" t="s">
        <v>125</v>
      </c>
      <c r="G84">
        <v>8</v>
      </c>
      <c r="H84" t="s">
        <v>582</v>
      </c>
      <c r="I84" t="s">
        <v>387</v>
      </c>
      <c r="J84">
        <v>20210811</v>
      </c>
      <c r="K84">
        <v>42.3</v>
      </c>
      <c r="L84" t="s">
        <v>388</v>
      </c>
      <c r="M84" t="s">
        <v>389</v>
      </c>
      <c r="N84" t="s">
        <v>390</v>
      </c>
      <c r="O84" t="s">
        <v>391</v>
      </c>
      <c r="P84" t="s">
        <v>392</v>
      </c>
      <c r="Q84">
        <v>20210811</v>
      </c>
      <c r="R84" t="s">
        <v>595</v>
      </c>
      <c r="S84" t="s">
        <v>395</v>
      </c>
      <c r="T84" t="s">
        <v>395</v>
      </c>
      <c r="U84" t="s">
        <v>395</v>
      </c>
      <c r="V84" t="s">
        <v>395</v>
      </c>
      <c r="W84" t="s">
        <v>596</v>
      </c>
      <c r="X84" t="s">
        <v>399</v>
      </c>
      <c r="Y84" t="s">
        <v>399</v>
      </c>
      <c r="Z84" t="s">
        <v>397</v>
      </c>
      <c r="AA84" t="s">
        <v>597</v>
      </c>
      <c r="AB84" t="s">
        <v>399</v>
      </c>
    </row>
    <row r="85" spans="1:28" x14ac:dyDescent="0.2">
      <c r="A85" t="str">
        <f>VLOOKUP(E85,COTI!F:F,1,FALSE)</f>
        <v>W7S</v>
      </c>
      <c r="D85" t="s">
        <v>105</v>
      </c>
      <c r="E85" t="s">
        <v>122</v>
      </c>
      <c r="F85" t="s">
        <v>123</v>
      </c>
      <c r="G85">
        <v>2</v>
      </c>
      <c r="H85" t="s">
        <v>403</v>
      </c>
      <c r="I85" t="s">
        <v>387</v>
      </c>
      <c r="J85">
        <v>20210730</v>
      </c>
      <c r="K85">
        <v>43.7</v>
      </c>
      <c r="L85" t="s">
        <v>388</v>
      </c>
      <c r="M85" t="s">
        <v>389</v>
      </c>
      <c r="N85" t="s">
        <v>390</v>
      </c>
      <c r="O85" t="s">
        <v>391</v>
      </c>
      <c r="P85" t="s">
        <v>392</v>
      </c>
      <c r="Q85">
        <v>20210730</v>
      </c>
      <c r="R85">
        <v>1410</v>
      </c>
      <c r="S85" t="s">
        <v>395</v>
      </c>
      <c r="T85" t="s">
        <v>395</v>
      </c>
      <c r="U85" t="s">
        <v>395</v>
      </c>
      <c r="V85" t="s">
        <v>395</v>
      </c>
      <c r="W85" t="s">
        <v>598</v>
      </c>
      <c r="X85" t="s">
        <v>397</v>
      </c>
      <c r="Y85" t="s">
        <v>399</v>
      </c>
      <c r="Z85" t="s">
        <v>397</v>
      </c>
      <c r="AA85" t="s">
        <v>599</v>
      </c>
      <c r="AB85" t="s">
        <v>399</v>
      </c>
    </row>
    <row r="86" spans="1:28" x14ac:dyDescent="0.2">
      <c r="A86" t="str">
        <f>VLOOKUP(E86,COTI!F:F,1,FALSE)</f>
        <v>W7T</v>
      </c>
      <c r="D86" t="s">
        <v>105</v>
      </c>
      <c r="E86" t="s">
        <v>120</v>
      </c>
      <c r="F86" t="s">
        <v>121</v>
      </c>
      <c r="G86">
        <v>9</v>
      </c>
      <c r="H86" t="s">
        <v>582</v>
      </c>
      <c r="I86" t="s">
        <v>387</v>
      </c>
      <c r="J86">
        <v>20210811</v>
      </c>
      <c r="K86">
        <v>43.7</v>
      </c>
      <c r="L86" t="s">
        <v>388</v>
      </c>
      <c r="M86" t="s">
        <v>389</v>
      </c>
      <c r="N86" t="s">
        <v>390</v>
      </c>
      <c r="O86" t="s">
        <v>391</v>
      </c>
      <c r="P86" t="s">
        <v>392</v>
      </c>
      <c r="Q86">
        <v>20210811</v>
      </c>
      <c r="R86" t="s">
        <v>583</v>
      </c>
      <c r="S86" t="s">
        <v>395</v>
      </c>
      <c r="T86" t="s">
        <v>395</v>
      </c>
      <c r="U86" t="s">
        <v>395</v>
      </c>
      <c r="V86" t="s">
        <v>395</v>
      </c>
      <c r="W86" t="s">
        <v>600</v>
      </c>
      <c r="X86" t="s">
        <v>399</v>
      </c>
      <c r="Y86" t="s">
        <v>399</v>
      </c>
      <c r="Z86" t="s">
        <v>397</v>
      </c>
      <c r="AA86" t="s">
        <v>601</v>
      </c>
      <c r="AB86" t="s">
        <v>399</v>
      </c>
    </row>
    <row r="87" spans="1:28" x14ac:dyDescent="0.2">
      <c r="A87" t="str">
        <f>VLOOKUP(E87,COTI!F:F,1,FALSE)</f>
        <v>WAL</v>
      </c>
      <c r="D87" t="s">
        <v>105</v>
      </c>
      <c r="E87" t="s">
        <v>118</v>
      </c>
      <c r="F87" t="s">
        <v>119</v>
      </c>
      <c r="G87">
        <v>13</v>
      </c>
      <c r="H87" t="s">
        <v>602</v>
      </c>
      <c r="I87" t="s">
        <v>387</v>
      </c>
      <c r="J87">
        <v>20210819</v>
      </c>
      <c r="K87">
        <v>48</v>
      </c>
      <c r="L87" t="s">
        <v>388</v>
      </c>
      <c r="M87" t="s">
        <v>389</v>
      </c>
      <c r="N87" t="s">
        <v>390</v>
      </c>
      <c r="O87" t="s">
        <v>391</v>
      </c>
      <c r="P87" t="s">
        <v>392</v>
      </c>
      <c r="Q87">
        <v>20210819</v>
      </c>
      <c r="R87" t="s">
        <v>603</v>
      </c>
      <c r="S87" t="s">
        <v>395</v>
      </c>
      <c r="T87" t="s">
        <v>395</v>
      </c>
      <c r="U87" t="s">
        <v>395</v>
      </c>
      <c r="V87" t="s">
        <v>395</v>
      </c>
      <c r="W87" t="s">
        <v>604</v>
      </c>
      <c r="X87" t="s">
        <v>397</v>
      </c>
      <c r="Y87" t="s">
        <v>399</v>
      </c>
      <c r="Z87" t="s">
        <v>397</v>
      </c>
      <c r="AA87" t="s">
        <v>605</v>
      </c>
      <c r="AB87" t="s">
        <v>399</v>
      </c>
    </row>
    <row r="88" spans="1:28" x14ac:dyDescent="0.2">
      <c r="A88" t="str">
        <f>VLOOKUP(E88,COTI!F:F,1,FALSE)</f>
        <v>WC1</v>
      </c>
      <c r="D88" t="s">
        <v>105</v>
      </c>
      <c r="E88" t="s">
        <v>116</v>
      </c>
      <c r="F88" t="s">
        <v>117</v>
      </c>
      <c r="G88">
        <v>9</v>
      </c>
      <c r="H88" t="s">
        <v>407</v>
      </c>
      <c r="I88" t="s">
        <v>387</v>
      </c>
      <c r="J88">
        <v>20210730</v>
      </c>
      <c r="K88">
        <v>43.7</v>
      </c>
      <c r="L88" t="s">
        <v>388</v>
      </c>
      <c r="M88" t="s">
        <v>389</v>
      </c>
      <c r="N88" t="s">
        <v>390</v>
      </c>
      <c r="O88" t="s">
        <v>391</v>
      </c>
      <c r="P88" t="s">
        <v>392</v>
      </c>
      <c r="Q88">
        <v>20210730</v>
      </c>
      <c r="R88">
        <v>1752</v>
      </c>
      <c r="S88" t="s">
        <v>395</v>
      </c>
      <c r="T88" t="s">
        <v>395</v>
      </c>
      <c r="U88" t="s">
        <v>395</v>
      </c>
      <c r="V88" t="s">
        <v>395</v>
      </c>
      <c r="W88" t="s">
        <v>606</v>
      </c>
      <c r="X88" t="s">
        <v>399</v>
      </c>
      <c r="Y88" t="s">
        <v>399</v>
      </c>
      <c r="Z88" t="s">
        <v>397</v>
      </c>
      <c r="AA88" t="s">
        <v>607</v>
      </c>
      <c r="AB88" t="s">
        <v>399</v>
      </c>
    </row>
    <row r="89" spans="1:28" x14ac:dyDescent="0.2">
      <c r="A89" t="str">
        <f>VLOOKUP(E89,COTI!F:F,1,FALSE)</f>
        <v>WCL</v>
      </c>
      <c r="D89" t="s">
        <v>105</v>
      </c>
      <c r="E89" t="s">
        <v>114</v>
      </c>
      <c r="F89" t="s">
        <v>115</v>
      </c>
      <c r="G89">
        <v>9</v>
      </c>
      <c r="H89" t="s">
        <v>407</v>
      </c>
      <c r="I89" t="s">
        <v>387</v>
      </c>
      <c r="J89">
        <v>20210715</v>
      </c>
      <c r="K89">
        <v>43.7</v>
      </c>
      <c r="L89" t="s">
        <v>388</v>
      </c>
      <c r="M89" t="s">
        <v>389</v>
      </c>
      <c r="N89" t="s">
        <v>390</v>
      </c>
      <c r="O89" t="s">
        <v>391</v>
      </c>
      <c r="P89" t="s">
        <v>392</v>
      </c>
      <c r="Q89">
        <v>20210715</v>
      </c>
      <c r="R89">
        <v>1752</v>
      </c>
      <c r="S89" t="s">
        <v>395</v>
      </c>
      <c r="T89" t="s">
        <v>395</v>
      </c>
      <c r="U89" t="s">
        <v>395</v>
      </c>
      <c r="V89" t="s">
        <v>395</v>
      </c>
      <c r="W89" t="s">
        <v>608</v>
      </c>
      <c r="X89" t="s">
        <v>397</v>
      </c>
      <c r="Y89" t="s">
        <v>399</v>
      </c>
      <c r="Z89" t="s">
        <v>397</v>
      </c>
      <c r="AA89" t="s">
        <v>609</v>
      </c>
      <c r="AB89" t="s">
        <v>399</v>
      </c>
    </row>
    <row r="90" spans="1:28" x14ac:dyDescent="0.2">
      <c r="A90" t="str">
        <f>VLOOKUP(E90,COTI!F:F,1,FALSE)</f>
        <v>WDL</v>
      </c>
      <c r="D90" t="s">
        <v>105</v>
      </c>
      <c r="E90" t="s">
        <v>112</v>
      </c>
      <c r="F90" t="s">
        <v>113</v>
      </c>
      <c r="G90">
        <v>18</v>
      </c>
      <c r="H90" t="s">
        <v>602</v>
      </c>
      <c r="I90" t="s">
        <v>387</v>
      </c>
      <c r="J90">
        <v>20210819</v>
      </c>
      <c r="K90">
        <v>45.2</v>
      </c>
      <c r="L90" t="s">
        <v>388</v>
      </c>
      <c r="M90" t="s">
        <v>389</v>
      </c>
      <c r="N90" t="s">
        <v>390</v>
      </c>
      <c r="O90" t="s">
        <v>391</v>
      </c>
      <c r="P90" t="s">
        <v>392</v>
      </c>
      <c r="Q90">
        <v>20210819</v>
      </c>
      <c r="R90" t="s">
        <v>610</v>
      </c>
      <c r="S90" t="s">
        <v>395</v>
      </c>
      <c r="T90" t="s">
        <v>395</v>
      </c>
      <c r="U90" t="s">
        <v>395</v>
      </c>
      <c r="V90" t="s">
        <v>395</v>
      </c>
      <c r="W90" t="s">
        <v>611</v>
      </c>
      <c r="X90" t="s">
        <v>396</v>
      </c>
      <c r="Y90" t="s">
        <v>399</v>
      </c>
      <c r="Z90" t="s">
        <v>397</v>
      </c>
      <c r="AA90" t="s">
        <v>612</v>
      </c>
      <c r="AB90" t="s">
        <v>399</v>
      </c>
    </row>
    <row r="91" spans="1:28" s="4" customFormat="1" x14ac:dyDescent="0.2">
      <c r="A91" s="4" t="e">
        <f>VLOOKUP(E91,COTI!F:F,1,FALSE)</f>
        <v>#N/A</v>
      </c>
      <c r="D91" s="4" t="s">
        <v>105</v>
      </c>
      <c r="E91" s="4" t="s">
        <v>613</v>
      </c>
      <c r="F91" s="4" t="s">
        <v>614</v>
      </c>
      <c r="G91" s="4">
        <v>5</v>
      </c>
      <c r="H91" s="4" t="s">
        <v>441</v>
      </c>
      <c r="I91" s="4" t="s">
        <v>387</v>
      </c>
      <c r="J91" s="4">
        <v>20210806</v>
      </c>
      <c r="K91" s="4">
        <v>38</v>
      </c>
      <c r="L91" s="4" t="s">
        <v>388</v>
      </c>
      <c r="M91" s="4" t="s">
        <v>389</v>
      </c>
      <c r="N91" s="4" t="s">
        <v>390</v>
      </c>
      <c r="O91" s="4" t="s">
        <v>391</v>
      </c>
      <c r="P91" s="4" t="s">
        <v>392</v>
      </c>
      <c r="Q91" s="4">
        <v>20210806</v>
      </c>
      <c r="R91" s="4">
        <v>644</v>
      </c>
      <c r="S91" s="4" t="s">
        <v>395</v>
      </c>
      <c r="T91" s="4" t="s">
        <v>395</v>
      </c>
      <c r="U91" s="4" t="s">
        <v>395</v>
      </c>
      <c r="V91" s="4" t="s">
        <v>395</v>
      </c>
      <c r="W91" s="4" t="s">
        <v>615</v>
      </c>
      <c r="X91" s="4" t="s">
        <v>399</v>
      </c>
      <c r="Y91" s="4" t="s">
        <v>399</v>
      </c>
      <c r="Z91" s="4" t="s">
        <v>397</v>
      </c>
      <c r="AA91" s="4" t="s">
        <v>616</v>
      </c>
      <c r="AB91" s="4" t="s">
        <v>399</v>
      </c>
    </row>
    <row r="92" spans="1:28" x14ac:dyDescent="0.2">
      <c r="A92" t="str">
        <f>VLOOKUP(E92,COTI!F:F,1,FALSE)</f>
        <v>WEC</v>
      </c>
      <c r="D92" t="s">
        <v>105</v>
      </c>
      <c r="E92" t="s">
        <v>110</v>
      </c>
      <c r="F92" t="s">
        <v>111</v>
      </c>
      <c r="G92">
        <v>10</v>
      </c>
      <c r="H92" t="s">
        <v>617</v>
      </c>
      <c r="I92" t="s">
        <v>387</v>
      </c>
      <c r="J92">
        <v>20210730</v>
      </c>
      <c r="K92">
        <v>42.3</v>
      </c>
      <c r="L92" t="s">
        <v>388</v>
      </c>
      <c r="M92" t="s">
        <v>389</v>
      </c>
      <c r="N92" t="s">
        <v>390</v>
      </c>
      <c r="O92" t="s">
        <v>391</v>
      </c>
      <c r="P92" t="s">
        <v>392</v>
      </c>
      <c r="Q92">
        <v>20210730</v>
      </c>
      <c r="R92">
        <v>1752</v>
      </c>
      <c r="S92" t="s">
        <v>395</v>
      </c>
      <c r="T92" t="s">
        <v>395</v>
      </c>
      <c r="U92" t="s">
        <v>395</v>
      </c>
      <c r="V92" t="s">
        <v>395</v>
      </c>
      <c r="W92" t="s">
        <v>618</v>
      </c>
      <c r="X92" t="s">
        <v>399</v>
      </c>
      <c r="Y92" t="s">
        <v>399</v>
      </c>
      <c r="Z92" t="s">
        <v>397</v>
      </c>
      <c r="AA92" t="s">
        <v>619</v>
      </c>
      <c r="AB92" t="s">
        <v>399</v>
      </c>
    </row>
    <row r="93" spans="1:28" x14ac:dyDescent="0.2">
      <c r="A93" t="str">
        <f>VLOOKUP(E93,COTI!F:F,1,FALSE)</f>
        <v>WLB</v>
      </c>
      <c r="D93" t="s">
        <v>105</v>
      </c>
      <c r="E93" t="s">
        <v>108</v>
      </c>
      <c r="F93" t="s">
        <v>109</v>
      </c>
      <c r="G93">
        <v>9</v>
      </c>
      <c r="H93" t="s">
        <v>441</v>
      </c>
      <c r="I93" t="s">
        <v>387</v>
      </c>
      <c r="J93">
        <v>20210730</v>
      </c>
      <c r="K93">
        <v>43.7</v>
      </c>
      <c r="L93" t="s">
        <v>388</v>
      </c>
      <c r="M93" t="s">
        <v>389</v>
      </c>
      <c r="N93" t="s">
        <v>390</v>
      </c>
      <c r="O93" t="s">
        <v>391</v>
      </c>
      <c r="P93" t="s">
        <v>392</v>
      </c>
      <c r="Q93">
        <v>20210730</v>
      </c>
      <c r="R93" t="s">
        <v>620</v>
      </c>
      <c r="S93" t="s">
        <v>395</v>
      </c>
      <c r="T93" t="s">
        <v>395</v>
      </c>
      <c r="U93" t="s">
        <v>395</v>
      </c>
      <c r="V93" t="s">
        <v>395</v>
      </c>
      <c r="W93" t="s">
        <v>621</v>
      </c>
      <c r="X93" t="s">
        <v>399</v>
      </c>
      <c r="Y93" t="s">
        <v>399</v>
      </c>
      <c r="Z93" t="s">
        <v>397</v>
      </c>
      <c r="AA93" t="s">
        <v>622</v>
      </c>
      <c r="AB93" t="s">
        <v>399</v>
      </c>
    </row>
    <row r="94" spans="1:28" x14ac:dyDescent="0.2">
      <c r="A94" t="str">
        <f>VLOOKUP(E94,COTI!F:F,1,FALSE)</f>
        <v>WLK</v>
      </c>
      <c r="D94" t="s">
        <v>105</v>
      </c>
      <c r="E94" t="s">
        <v>106</v>
      </c>
      <c r="F94" t="s">
        <v>107</v>
      </c>
      <c r="G94">
        <v>11</v>
      </c>
      <c r="H94" t="s">
        <v>623</v>
      </c>
      <c r="I94" t="s">
        <v>387</v>
      </c>
      <c r="J94">
        <v>20210622</v>
      </c>
      <c r="K94">
        <v>38</v>
      </c>
      <c r="L94" t="s">
        <v>388</v>
      </c>
      <c r="M94" t="s">
        <v>389</v>
      </c>
      <c r="N94" t="s">
        <v>390</v>
      </c>
      <c r="O94" t="s">
        <v>391</v>
      </c>
      <c r="P94" t="s">
        <v>392</v>
      </c>
      <c r="Q94">
        <v>20210622</v>
      </c>
      <c r="R94" t="s">
        <v>393</v>
      </c>
      <c r="S94" t="s">
        <v>395</v>
      </c>
      <c r="T94" t="s">
        <v>395</v>
      </c>
      <c r="U94" t="s">
        <v>395</v>
      </c>
      <c r="V94" t="s">
        <v>395</v>
      </c>
      <c r="W94" t="s">
        <v>624</v>
      </c>
      <c r="X94" t="s">
        <v>399</v>
      </c>
      <c r="Y94" t="s">
        <v>399</v>
      </c>
      <c r="Z94" t="s">
        <v>397</v>
      </c>
      <c r="AA94" t="s">
        <v>625</v>
      </c>
      <c r="AB94" t="s">
        <v>399</v>
      </c>
    </row>
    <row r="95" spans="1:28" x14ac:dyDescent="0.2">
      <c r="A95" t="str">
        <f>VLOOKUP(E95,COTI!F:F,1,FALSE)</f>
        <v>WTL</v>
      </c>
      <c r="D95" t="s">
        <v>105</v>
      </c>
      <c r="E95" t="s">
        <v>103</v>
      </c>
      <c r="F95" t="s">
        <v>104</v>
      </c>
      <c r="G95">
        <v>13</v>
      </c>
      <c r="H95" t="s">
        <v>626</v>
      </c>
      <c r="I95" t="s">
        <v>387</v>
      </c>
      <c r="J95">
        <v>20210713</v>
      </c>
      <c r="K95">
        <v>43.7</v>
      </c>
      <c r="L95" t="s">
        <v>388</v>
      </c>
      <c r="M95" t="s">
        <v>389</v>
      </c>
      <c r="N95" t="s">
        <v>390</v>
      </c>
      <c r="O95" t="s">
        <v>391</v>
      </c>
      <c r="P95" t="s">
        <v>392</v>
      </c>
      <c r="Q95">
        <v>20210713</v>
      </c>
      <c r="R95" t="s">
        <v>627</v>
      </c>
      <c r="S95" t="s">
        <v>395</v>
      </c>
      <c r="T95" t="s">
        <v>395</v>
      </c>
      <c r="U95" t="s">
        <v>395</v>
      </c>
      <c r="V95" t="s">
        <v>395</v>
      </c>
      <c r="W95" t="s">
        <v>628</v>
      </c>
      <c r="X95" t="s">
        <v>399</v>
      </c>
      <c r="Y95" t="s">
        <v>399</v>
      </c>
      <c r="Z95" t="s">
        <v>397</v>
      </c>
      <c r="AA95" t="s">
        <v>629</v>
      </c>
      <c r="AB95" t="s">
        <v>399</v>
      </c>
    </row>
    <row r="96" spans="1:28" s="14" customFormat="1" ht="15" x14ac:dyDescent="0.25">
      <c r="A96" s="14" t="str">
        <f>VLOOKUP(E96,COTI!F:F,1,FALSE)</f>
        <v>PL4</v>
      </c>
      <c r="B96" s="14" t="s">
        <v>1179</v>
      </c>
      <c r="D96" s="14" t="s">
        <v>24</v>
      </c>
      <c r="E96" s="14" t="s">
        <v>88</v>
      </c>
      <c r="F96" s="14" t="s">
        <v>89</v>
      </c>
      <c r="G96" s="14">
        <v>7</v>
      </c>
      <c r="H96" s="14" t="s">
        <v>630</v>
      </c>
      <c r="I96" s="14" t="s">
        <v>387</v>
      </c>
      <c r="J96" s="14">
        <v>20110827</v>
      </c>
      <c r="K96" s="14">
        <v>60</v>
      </c>
      <c r="L96" s="14" t="s">
        <v>431</v>
      </c>
      <c r="M96" s="14" t="s">
        <v>389</v>
      </c>
      <c r="N96" s="14" t="s">
        <v>390</v>
      </c>
      <c r="O96" s="14" t="s">
        <v>391</v>
      </c>
      <c r="P96" s="14" t="s">
        <v>392</v>
      </c>
      <c r="Q96" s="14">
        <v>20110827</v>
      </c>
      <c r="R96" s="14" t="s">
        <v>432</v>
      </c>
      <c r="S96" s="14" t="s">
        <v>631</v>
      </c>
      <c r="T96" s="14" t="s">
        <v>395</v>
      </c>
      <c r="U96" s="14" t="s">
        <v>395</v>
      </c>
      <c r="V96" s="14" t="s">
        <v>395</v>
      </c>
      <c r="W96" s="14" t="s">
        <v>395</v>
      </c>
      <c r="X96" s="14" t="s">
        <v>396</v>
      </c>
      <c r="Y96" s="14" t="s">
        <v>397</v>
      </c>
      <c r="Z96" s="14" t="s">
        <v>397</v>
      </c>
      <c r="AA96" s="14" t="s">
        <v>632</v>
      </c>
      <c r="AB96" s="14" t="s">
        <v>399</v>
      </c>
    </row>
    <row r="97" spans="1:28" s="14" customFormat="1" ht="15" x14ac:dyDescent="0.25">
      <c r="A97" s="14" t="str">
        <f>VLOOKUP(E97,COTI!F:F,1,FALSE)</f>
        <v>PL5</v>
      </c>
      <c r="B97" s="14" t="s">
        <v>1179</v>
      </c>
      <c r="D97" s="14" t="s">
        <v>24</v>
      </c>
      <c r="E97" s="14" t="s">
        <v>86</v>
      </c>
      <c r="F97" s="14" t="s">
        <v>87</v>
      </c>
      <c r="G97" s="14">
        <v>9</v>
      </c>
      <c r="H97" s="14" t="s">
        <v>630</v>
      </c>
      <c r="I97" s="14" t="s">
        <v>387</v>
      </c>
      <c r="J97" s="14">
        <v>20110827</v>
      </c>
      <c r="K97" s="14">
        <v>60</v>
      </c>
      <c r="L97" s="14" t="s">
        <v>431</v>
      </c>
      <c r="M97" s="14" t="s">
        <v>389</v>
      </c>
      <c r="N97" s="14" t="s">
        <v>390</v>
      </c>
      <c r="O97" s="14" t="s">
        <v>391</v>
      </c>
      <c r="P97" s="14" t="s">
        <v>392</v>
      </c>
      <c r="Q97" s="14">
        <v>20110827</v>
      </c>
      <c r="R97" s="14" t="s">
        <v>432</v>
      </c>
      <c r="S97" s="14" t="s">
        <v>631</v>
      </c>
      <c r="T97" s="14" t="s">
        <v>395</v>
      </c>
      <c r="U97" s="14" t="s">
        <v>395</v>
      </c>
      <c r="V97" s="14" t="s">
        <v>395</v>
      </c>
      <c r="W97" s="14" t="s">
        <v>395</v>
      </c>
      <c r="X97" s="14" t="s">
        <v>397</v>
      </c>
      <c r="Y97" s="14" t="s">
        <v>397</v>
      </c>
      <c r="Z97" s="14" t="s">
        <v>397</v>
      </c>
      <c r="AA97" s="14" t="s">
        <v>633</v>
      </c>
      <c r="AB97" s="14" t="s">
        <v>399</v>
      </c>
    </row>
    <row r="98" spans="1:28" s="14" customFormat="1" ht="15" x14ac:dyDescent="0.25">
      <c r="A98" s="14" t="str">
        <f>VLOOKUP(E98,COTI!F:F,1,FALSE)</f>
        <v>PL7</v>
      </c>
      <c r="B98" s="14" t="s">
        <v>1179</v>
      </c>
      <c r="D98" s="14" t="s">
        <v>24</v>
      </c>
      <c r="E98" s="14" t="s">
        <v>81</v>
      </c>
      <c r="F98" s="14" t="s">
        <v>82</v>
      </c>
      <c r="G98" s="14">
        <v>14</v>
      </c>
      <c r="H98" s="14" t="s">
        <v>634</v>
      </c>
      <c r="I98" s="14" t="s">
        <v>387</v>
      </c>
      <c r="J98" s="14">
        <v>20130911</v>
      </c>
      <c r="K98" s="14">
        <v>63.5</v>
      </c>
      <c r="L98" s="14" t="s">
        <v>635</v>
      </c>
      <c r="M98" s="14" t="s">
        <v>389</v>
      </c>
      <c r="N98" s="14" t="s">
        <v>390</v>
      </c>
      <c r="O98" s="14" t="s">
        <v>391</v>
      </c>
      <c r="P98" s="14" t="s">
        <v>392</v>
      </c>
      <c r="Q98" s="14">
        <v>20130911</v>
      </c>
      <c r="R98" s="14" t="s">
        <v>636</v>
      </c>
      <c r="S98" s="14" t="s">
        <v>395</v>
      </c>
      <c r="T98" s="14" t="s">
        <v>395</v>
      </c>
      <c r="U98" s="14" t="s">
        <v>395</v>
      </c>
      <c r="V98" s="14" t="s">
        <v>395</v>
      </c>
      <c r="W98" s="14" t="s">
        <v>395</v>
      </c>
      <c r="X98" s="14" t="s">
        <v>397</v>
      </c>
      <c r="Y98" s="14" t="s">
        <v>397</v>
      </c>
      <c r="Z98" s="14" t="s">
        <v>397</v>
      </c>
      <c r="AA98" s="14" t="s">
        <v>637</v>
      </c>
      <c r="AB98" s="14" t="s">
        <v>399</v>
      </c>
    </row>
    <row r="99" spans="1:28" s="14" customFormat="1" ht="15" x14ac:dyDescent="0.25">
      <c r="A99" s="14" t="str">
        <f>VLOOKUP(E99,COTI!F:F,1,FALSE)</f>
        <v>PL8</v>
      </c>
      <c r="B99" s="14" t="s">
        <v>1179</v>
      </c>
      <c r="D99" s="14" t="s">
        <v>24</v>
      </c>
      <c r="E99" s="14" t="s">
        <v>79</v>
      </c>
      <c r="F99" s="14" t="s">
        <v>80</v>
      </c>
      <c r="G99" s="14">
        <v>12</v>
      </c>
      <c r="H99" s="14" t="s">
        <v>634</v>
      </c>
      <c r="I99" s="14" t="s">
        <v>387</v>
      </c>
      <c r="J99" s="14">
        <v>20130919</v>
      </c>
      <c r="K99" s="14">
        <v>62</v>
      </c>
      <c r="L99" s="14" t="s">
        <v>498</v>
      </c>
      <c r="M99" s="14" t="s">
        <v>389</v>
      </c>
      <c r="N99" s="14" t="s">
        <v>390</v>
      </c>
      <c r="O99" s="14" t="s">
        <v>391</v>
      </c>
      <c r="P99" s="14" t="s">
        <v>392</v>
      </c>
      <c r="Q99" s="14">
        <v>20130919</v>
      </c>
      <c r="R99" s="14" t="s">
        <v>638</v>
      </c>
      <c r="S99" s="14" t="s">
        <v>395</v>
      </c>
      <c r="T99" s="14" t="s">
        <v>395</v>
      </c>
      <c r="U99" s="14" t="s">
        <v>395</v>
      </c>
      <c r="V99" s="14" t="s">
        <v>395</v>
      </c>
      <c r="W99" s="14" t="s">
        <v>395</v>
      </c>
      <c r="X99" s="14" t="s">
        <v>397</v>
      </c>
      <c r="Y99" s="14" t="s">
        <v>397</v>
      </c>
      <c r="Z99" s="14" t="s">
        <v>397</v>
      </c>
      <c r="AA99" s="14" t="s">
        <v>639</v>
      </c>
      <c r="AB99" s="14" t="s">
        <v>399</v>
      </c>
    </row>
    <row r="100" spans="1:28" s="14" customFormat="1" ht="15" x14ac:dyDescent="0.25">
      <c r="A100" s="14" t="str">
        <f>VLOOKUP(E100,COTI!F:F,1,FALSE)</f>
        <v>PL9</v>
      </c>
      <c r="B100" s="14" t="s">
        <v>1179</v>
      </c>
      <c r="D100" s="14" t="s">
        <v>24</v>
      </c>
      <c r="E100" s="14" t="s">
        <v>77</v>
      </c>
      <c r="F100" s="14" t="s">
        <v>78</v>
      </c>
      <c r="G100" s="14">
        <v>2</v>
      </c>
      <c r="H100" s="14" t="s">
        <v>456</v>
      </c>
      <c r="I100" s="14" t="s">
        <v>387</v>
      </c>
      <c r="J100" s="14">
        <v>20110608</v>
      </c>
      <c r="K100" s="14">
        <v>62</v>
      </c>
      <c r="L100" s="14" t="s">
        <v>431</v>
      </c>
      <c r="M100" s="14" t="s">
        <v>389</v>
      </c>
      <c r="N100" s="14" t="s">
        <v>390</v>
      </c>
      <c r="O100" s="14" t="s">
        <v>391</v>
      </c>
      <c r="P100" s="14" t="s">
        <v>392</v>
      </c>
      <c r="Q100" s="14">
        <v>20110608</v>
      </c>
      <c r="R100" s="14" t="s">
        <v>432</v>
      </c>
      <c r="S100" s="14" t="s">
        <v>554</v>
      </c>
      <c r="T100" s="14" t="s">
        <v>395</v>
      </c>
      <c r="U100" s="14" t="s">
        <v>395</v>
      </c>
      <c r="V100" s="14" t="s">
        <v>395</v>
      </c>
      <c r="W100" s="14" t="s">
        <v>395</v>
      </c>
      <c r="X100" s="14" t="s">
        <v>396</v>
      </c>
      <c r="Y100" s="14" t="s">
        <v>397</v>
      </c>
      <c r="Z100" s="14" t="s">
        <v>397</v>
      </c>
      <c r="AA100" s="14" t="s">
        <v>640</v>
      </c>
      <c r="AB100" s="14" t="s">
        <v>399</v>
      </c>
    </row>
    <row r="101" spans="1:28" s="14" customFormat="1" ht="15" x14ac:dyDescent="0.25">
      <c r="A101" s="14" t="str">
        <f>VLOOKUP(E101,COTI!F:F,1,FALSE)</f>
        <v>PLC</v>
      </c>
      <c r="B101" s="14" t="s">
        <v>1179</v>
      </c>
      <c r="D101" s="14" t="s">
        <v>24</v>
      </c>
      <c r="E101" s="14" t="s">
        <v>73</v>
      </c>
      <c r="F101" s="14" t="s">
        <v>74</v>
      </c>
      <c r="G101" s="14">
        <v>2</v>
      </c>
      <c r="H101" s="14" t="s">
        <v>507</v>
      </c>
      <c r="I101" s="14" t="s">
        <v>387</v>
      </c>
      <c r="J101" s="14">
        <v>20110927</v>
      </c>
      <c r="K101" s="14">
        <v>60</v>
      </c>
      <c r="L101" s="14" t="s">
        <v>431</v>
      </c>
      <c r="M101" s="14" t="s">
        <v>389</v>
      </c>
      <c r="N101" s="14" t="s">
        <v>390</v>
      </c>
      <c r="O101" s="14" t="s">
        <v>391</v>
      </c>
      <c r="P101" s="14" t="s">
        <v>392</v>
      </c>
      <c r="Q101" s="14">
        <v>20110927</v>
      </c>
      <c r="R101" s="14" t="s">
        <v>432</v>
      </c>
      <c r="S101" s="14" t="s">
        <v>641</v>
      </c>
      <c r="T101" s="14" t="s">
        <v>395</v>
      </c>
      <c r="U101" s="14" t="s">
        <v>395</v>
      </c>
      <c r="V101" s="14" t="s">
        <v>395</v>
      </c>
      <c r="W101" s="14" t="s">
        <v>395</v>
      </c>
      <c r="X101" s="14" t="s">
        <v>397</v>
      </c>
      <c r="Y101" s="14" t="s">
        <v>397</v>
      </c>
      <c r="Z101" s="14" t="s">
        <v>397</v>
      </c>
      <c r="AA101" s="14" t="s">
        <v>642</v>
      </c>
      <c r="AB101" s="14" t="s">
        <v>399</v>
      </c>
    </row>
    <row r="102" spans="1:28" s="14" customFormat="1" ht="15" x14ac:dyDescent="0.25">
      <c r="A102" s="14" t="str">
        <f>VLOOKUP(E102,COTI!F:F,1,FALSE)</f>
        <v>PLD</v>
      </c>
      <c r="B102" s="14" t="s">
        <v>1179</v>
      </c>
      <c r="D102" s="14" t="s">
        <v>24</v>
      </c>
      <c r="E102" s="14" t="s">
        <v>71</v>
      </c>
      <c r="F102" s="14" t="s">
        <v>72</v>
      </c>
      <c r="G102" s="14">
        <v>10</v>
      </c>
      <c r="H102" s="14" t="s">
        <v>386</v>
      </c>
      <c r="I102" s="14" t="s">
        <v>387</v>
      </c>
      <c r="J102" s="14">
        <v>20180924</v>
      </c>
      <c r="K102" s="14">
        <v>64</v>
      </c>
      <c r="L102" s="14" t="s">
        <v>643</v>
      </c>
      <c r="M102" s="14" t="s">
        <v>389</v>
      </c>
      <c r="N102" s="14" t="s">
        <v>390</v>
      </c>
      <c r="O102" s="14" t="s">
        <v>391</v>
      </c>
      <c r="P102" s="14" t="s">
        <v>392</v>
      </c>
      <c r="Q102" s="14">
        <v>20180924</v>
      </c>
      <c r="R102" s="14">
        <v>33720</v>
      </c>
      <c r="S102" s="14" t="s">
        <v>399</v>
      </c>
      <c r="T102" s="14" t="s">
        <v>399</v>
      </c>
      <c r="U102" s="14" t="s">
        <v>399</v>
      </c>
      <c r="V102" s="14" t="s">
        <v>399</v>
      </c>
      <c r="W102" s="14" t="s">
        <v>399</v>
      </c>
      <c r="X102" s="14" t="s">
        <v>397</v>
      </c>
      <c r="Y102" s="14" t="s">
        <v>397</v>
      </c>
      <c r="Z102" s="14" t="s">
        <v>397</v>
      </c>
      <c r="AA102" s="14" t="s">
        <v>644</v>
      </c>
      <c r="AB102" s="14" t="s">
        <v>399</v>
      </c>
    </row>
    <row r="103" spans="1:28" s="14" customFormat="1" ht="15" x14ac:dyDescent="0.25">
      <c r="A103" s="14" t="str">
        <f>VLOOKUP(E103,COTI!F:F,1,FALSE)</f>
        <v>PLE</v>
      </c>
      <c r="B103" s="14" t="s">
        <v>1179</v>
      </c>
      <c r="D103" s="14" t="s">
        <v>24</v>
      </c>
      <c r="E103" s="14" t="s">
        <v>69</v>
      </c>
      <c r="F103" s="14" t="s">
        <v>70</v>
      </c>
      <c r="G103" s="14">
        <v>16</v>
      </c>
      <c r="H103" s="14" t="s">
        <v>386</v>
      </c>
      <c r="I103" s="14" t="s">
        <v>387</v>
      </c>
      <c r="J103" s="14">
        <v>20180924</v>
      </c>
      <c r="K103" s="14">
        <v>64</v>
      </c>
      <c r="L103" s="14" t="s">
        <v>643</v>
      </c>
      <c r="M103" s="14" t="s">
        <v>389</v>
      </c>
      <c r="N103" s="14" t="s">
        <v>390</v>
      </c>
      <c r="O103" s="14" t="s">
        <v>391</v>
      </c>
      <c r="P103" s="14" t="s">
        <v>392</v>
      </c>
      <c r="Q103" s="14">
        <v>20180924</v>
      </c>
      <c r="R103" s="14">
        <v>33720</v>
      </c>
      <c r="S103" s="14" t="s">
        <v>399</v>
      </c>
      <c r="T103" s="14" t="s">
        <v>399</v>
      </c>
      <c r="U103" s="14" t="s">
        <v>399</v>
      </c>
      <c r="V103" s="14" t="s">
        <v>399</v>
      </c>
      <c r="W103" s="14" t="s">
        <v>399</v>
      </c>
      <c r="X103" s="14" t="s">
        <v>397</v>
      </c>
      <c r="Y103" s="14" t="s">
        <v>397</v>
      </c>
      <c r="Z103" s="14" t="s">
        <v>397</v>
      </c>
      <c r="AA103" s="14" t="s">
        <v>645</v>
      </c>
      <c r="AB103" s="14" t="s">
        <v>399</v>
      </c>
    </row>
    <row r="104" spans="1:28" s="14" customFormat="1" ht="15" x14ac:dyDescent="0.25">
      <c r="A104" s="14" t="str">
        <f>VLOOKUP(E104,COTI!F:F,1,FALSE)</f>
        <v>PLS</v>
      </c>
      <c r="B104" s="14" t="s">
        <v>1179</v>
      </c>
      <c r="D104" s="14" t="s">
        <v>24</v>
      </c>
      <c r="E104" s="14" t="s">
        <v>67</v>
      </c>
      <c r="F104" s="14" t="s">
        <v>68</v>
      </c>
      <c r="G104" s="14">
        <v>8</v>
      </c>
      <c r="H104" s="14" t="s">
        <v>501</v>
      </c>
      <c r="I104" s="14" t="s">
        <v>502</v>
      </c>
      <c r="J104" s="14">
        <v>20181029</v>
      </c>
      <c r="K104" s="14">
        <v>60</v>
      </c>
      <c r="L104" s="14" t="s">
        <v>549</v>
      </c>
      <c r="M104" s="14" t="s">
        <v>389</v>
      </c>
      <c r="N104" s="14" t="s">
        <v>390</v>
      </c>
      <c r="O104" s="14" t="s">
        <v>391</v>
      </c>
      <c r="P104" s="14" t="s">
        <v>392</v>
      </c>
      <c r="Q104" s="14">
        <v>20181029</v>
      </c>
      <c r="R104" s="14">
        <v>71221</v>
      </c>
      <c r="S104" s="14" t="s">
        <v>399</v>
      </c>
      <c r="T104" s="14" t="s">
        <v>399</v>
      </c>
      <c r="U104" s="14" t="s">
        <v>399</v>
      </c>
      <c r="V104" s="14" t="s">
        <v>399</v>
      </c>
      <c r="W104" s="14" t="s">
        <v>399</v>
      </c>
      <c r="X104" s="14" t="s">
        <v>397</v>
      </c>
      <c r="Y104" s="14" t="s">
        <v>397</v>
      </c>
      <c r="Z104" s="14" t="s">
        <v>397</v>
      </c>
      <c r="AA104" s="14" t="s">
        <v>646</v>
      </c>
      <c r="AB104" s="14" t="s">
        <v>399</v>
      </c>
    </row>
    <row r="105" spans="1:28" s="14" customFormat="1" ht="15" x14ac:dyDescent="0.25">
      <c r="A105" s="14" t="str">
        <f>VLOOKUP(E105,COTI!F:F,1,FALSE)</f>
        <v>PVP</v>
      </c>
      <c r="B105" s="14" t="s">
        <v>1179</v>
      </c>
      <c r="D105" s="14" t="s">
        <v>24</v>
      </c>
      <c r="E105" s="14" t="s">
        <v>65</v>
      </c>
      <c r="F105" s="14" t="s">
        <v>66</v>
      </c>
      <c r="G105" s="14">
        <v>6</v>
      </c>
      <c r="H105" s="14" t="s">
        <v>386</v>
      </c>
      <c r="I105" s="14" t="s">
        <v>387</v>
      </c>
      <c r="J105" s="14">
        <v>20130927</v>
      </c>
      <c r="K105" s="14">
        <v>63.5</v>
      </c>
      <c r="L105" s="14" t="s">
        <v>647</v>
      </c>
      <c r="M105" s="14" t="s">
        <v>389</v>
      </c>
      <c r="N105" s="14" t="s">
        <v>390</v>
      </c>
      <c r="O105" s="14" t="s">
        <v>391</v>
      </c>
      <c r="P105" s="14" t="s">
        <v>392</v>
      </c>
      <c r="Q105" s="14">
        <v>20130927</v>
      </c>
      <c r="R105" s="14" t="s">
        <v>648</v>
      </c>
      <c r="S105" s="14" t="s">
        <v>649</v>
      </c>
      <c r="T105" s="14" t="s">
        <v>395</v>
      </c>
      <c r="U105" s="14" t="s">
        <v>395</v>
      </c>
      <c r="V105" s="14" t="s">
        <v>395</v>
      </c>
      <c r="W105" s="14" t="s">
        <v>395</v>
      </c>
      <c r="X105" s="14" t="s">
        <v>397</v>
      </c>
      <c r="Y105" s="14" t="s">
        <v>397</v>
      </c>
      <c r="Z105" s="14" t="s">
        <v>397</v>
      </c>
      <c r="AA105" s="14" t="s">
        <v>650</v>
      </c>
      <c r="AB105" s="14" t="s">
        <v>399</v>
      </c>
    </row>
    <row r="106" spans="1:28" x14ac:dyDescent="0.2">
      <c r="A106" t="str">
        <f>VLOOKUP(E106,COTI!F:F,1,FALSE)</f>
        <v>RDL</v>
      </c>
      <c r="D106" t="s">
        <v>24</v>
      </c>
      <c r="E106" t="s">
        <v>63</v>
      </c>
      <c r="F106" t="s">
        <v>64</v>
      </c>
      <c r="G106">
        <v>13</v>
      </c>
      <c r="H106" t="s">
        <v>435</v>
      </c>
      <c r="I106" t="s">
        <v>387</v>
      </c>
      <c r="J106">
        <v>20210705</v>
      </c>
      <c r="K106">
        <v>45</v>
      </c>
      <c r="L106" t="s">
        <v>388</v>
      </c>
      <c r="M106" t="s">
        <v>389</v>
      </c>
      <c r="N106" t="s">
        <v>390</v>
      </c>
      <c r="O106" t="s">
        <v>391</v>
      </c>
      <c r="P106" t="s">
        <v>392</v>
      </c>
      <c r="Q106">
        <v>20210705</v>
      </c>
      <c r="R106" t="s">
        <v>651</v>
      </c>
      <c r="S106" t="s">
        <v>395</v>
      </c>
      <c r="T106" t="s">
        <v>395</v>
      </c>
      <c r="U106" t="s">
        <v>395</v>
      </c>
      <c r="V106" t="s">
        <v>395</v>
      </c>
      <c r="W106" t="s">
        <v>652</v>
      </c>
      <c r="X106" t="s">
        <v>396</v>
      </c>
      <c r="Y106" t="s">
        <v>397</v>
      </c>
      <c r="Z106" t="s">
        <v>397</v>
      </c>
      <c r="AA106" t="s">
        <v>653</v>
      </c>
      <c r="AB106" t="s">
        <v>399</v>
      </c>
    </row>
    <row r="107" spans="1:28" x14ac:dyDescent="0.2">
      <c r="A107" t="str">
        <f>VLOOKUP(E107,COTI!F:F,1,FALSE)</f>
        <v>RUA</v>
      </c>
      <c r="D107" t="s">
        <v>24</v>
      </c>
      <c r="E107" t="s">
        <v>61</v>
      </c>
      <c r="F107" t="s">
        <v>62</v>
      </c>
      <c r="G107">
        <v>34</v>
      </c>
      <c r="H107" t="s">
        <v>435</v>
      </c>
      <c r="I107" t="s">
        <v>387</v>
      </c>
      <c r="J107">
        <v>20210805</v>
      </c>
      <c r="K107">
        <v>53.42</v>
      </c>
      <c r="L107" t="s">
        <v>388</v>
      </c>
      <c r="M107" t="s">
        <v>389</v>
      </c>
      <c r="N107" t="s">
        <v>390</v>
      </c>
      <c r="O107" t="s">
        <v>391</v>
      </c>
      <c r="P107" t="s">
        <v>392</v>
      </c>
      <c r="Q107">
        <v>20210805</v>
      </c>
      <c r="R107" t="s">
        <v>654</v>
      </c>
      <c r="S107" t="s">
        <v>395</v>
      </c>
      <c r="T107" t="s">
        <v>395</v>
      </c>
      <c r="U107" t="s">
        <v>395</v>
      </c>
      <c r="V107" t="s">
        <v>395</v>
      </c>
      <c r="W107" t="s">
        <v>655</v>
      </c>
      <c r="X107" t="s">
        <v>399</v>
      </c>
      <c r="Y107" t="s">
        <v>399</v>
      </c>
      <c r="Z107" t="s">
        <v>397</v>
      </c>
      <c r="AA107" t="s">
        <v>656</v>
      </c>
      <c r="AB107" t="s">
        <v>399</v>
      </c>
    </row>
    <row r="108" spans="1:28" x14ac:dyDescent="0.2">
      <c r="A108" t="str">
        <f>VLOOKUP(E108,COTI!F:F,1,FALSE)</f>
        <v>RUE</v>
      </c>
      <c r="D108" t="s">
        <v>24</v>
      </c>
      <c r="E108" t="s">
        <v>59</v>
      </c>
      <c r="F108" t="s">
        <v>60</v>
      </c>
      <c r="G108">
        <v>23</v>
      </c>
      <c r="H108" t="s">
        <v>435</v>
      </c>
      <c r="I108" t="s">
        <v>387</v>
      </c>
      <c r="J108">
        <v>20210811</v>
      </c>
      <c r="K108">
        <v>62.96</v>
      </c>
      <c r="L108" t="s">
        <v>388</v>
      </c>
      <c r="M108" t="s">
        <v>389</v>
      </c>
      <c r="N108" t="s">
        <v>390</v>
      </c>
      <c r="O108" t="s">
        <v>391</v>
      </c>
      <c r="P108" t="s">
        <v>392</v>
      </c>
      <c r="Q108">
        <v>20210811</v>
      </c>
      <c r="R108" t="s">
        <v>404</v>
      </c>
      <c r="S108" t="s">
        <v>395</v>
      </c>
      <c r="T108" t="s">
        <v>395</v>
      </c>
      <c r="U108" t="s">
        <v>395</v>
      </c>
      <c r="V108" t="s">
        <v>395</v>
      </c>
      <c r="W108" t="s">
        <v>657</v>
      </c>
      <c r="X108" t="s">
        <v>399</v>
      </c>
      <c r="Y108" t="s">
        <v>399</v>
      </c>
      <c r="Z108" t="s">
        <v>397</v>
      </c>
      <c r="AA108" t="s">
        <v>658</v>
      </c>
      <c r="AB108" t="s">
        <v>399</v>
      </c>
    </row>
    <row r="109" spans="1:28" s="16" customFormat="1" ht="15" x14ac:dyDescent="0.25">
      <c r="A109" s="16" t="str">
        <f>VLOOKUP(E109,COTI!F:F,1,FALSE)</f>
        <v>RUM</v>
      </c>
      <c r="B109" s="16" t="s">
        <v>1179</v>
      </c>
      <c r="C109" s="16" t="s">
        <v>1173</v>
      </c>
      <c r="D109" s="16" t="s">
        <v>24</v>
      </c>
      <c r="E109" s="16" t="s">
        <v>57</v>
      </c>
      <c r="F109" s="16" t="s">
        <v>58</v>
      </c>
      <c r="G109" s="16">
        <v>10</v>
      </c>
      <c r="H109" s="16" t="s">
        <v>386</v>
      </c>
      <c r="I109" s="16" t="s">
        <v>387</v>
      </c>
      <c r="J109" s="16">
        <v>20171219</v>
      </c>
      <c r="K109" s="16">
        <v>70</v>
      </c>
      <c r="L109" s="16" t="s">
        <v>549</v>
      </c>
      <c r="M109" s="16" t="s">
        <v>389</v>
      </c>
      <c r="N109" s="16" t="s">
        <v>390</v>
      </c>
      <c r="O109" s="16" t="s">
        <v>391</v>
      </c>
      <c r="P109" s="16" t="s">
        <v>392</v>
      </c>
      <c r="Q109" s="16">
        <v>20171219</v>
      </c>
      <c r="R109" s="16">
        <v>121917</v>
      </c>
      <c r="S109" s="16" t="s">
        <v>399</v>
      </c>
      <c r="T109" s="16" t="s">
        <v>399</v>
      </c>
      <c r="U109" s="16" t="s">
        <v>399</v>
      </c>
      <c r="V109" s="16" t="s">
        <v>399</v>
      </c>
      <c r="W109" s="16" t="s">
        <v>399</v>
      </c>
      <c r="X109" s="16" t="s">
        <v>397</v>
      </c>
      <c r="Y109" s="16" t="s">
        <v>397</v>
      </c>
      <c r="Z109" s="16" t="s">
        <v>397</v>
      </c>
      <c r="AA109" s="16" t="s">
        <v>659</v>
      </c>
      <c r="AB109" s="16" t="s">
        <v>399</v>
      </c>
    </row>
    <row r="110" spans="1:28" s="16" customFormat="1" ht="15" x14ac:dyDescent="0.25">
      <c r="A110" s="16" t="str">
        <f>VLOOKUP(E110,COTI!F:F,1,FALSE)</f>
        <v>SL3</v>
      </c>
      <c r="B110" s="16" t="s">
        <v>1179</v>
      </c>
      <c r="C110" s="16" t="s">
        <v>1174</v>
      </c>
      <c r="D110" s="16" t="s">
        <v>24</v>
      </c>
      <c r="E110" s="16" t="s">
        <v>55</v>
      </c>
      <c r="F110" s="16" t="s">
        <v>56</v>
      </c>
      <c r="G110" s="16">
        <v>1</v>
      </c>
      <c r="H110" s="16" t="s">
        <v>660</v>
      </c>
      <c r="I110" s="16" t="s">
        <v>427</v>
      </c>
      <c r="J110" s="16">
        <v>20121116</v>
      </c>
      <c r="K110" s="16">
        <v>63.5</v>
      </c>
      <c r="L110" s="16" t="s">
        <v>661</v>
      </c>
      <c r="M110" s="16" t="s">
        <v>389</v>
      </c>
      <c r="N110" s="16" t="s">
        <v>390</v>
      </c>
      <c r="O110" s="16" t="s">
        <v>391</v>
      </c>
      <c r="P110" s="16" t="s">
        <v>392</v>
      </c>
      <c r="Q110" s="16">
        <v>20121025</v>
      </c>
      <c r="R110" s="16" t="s">
        <v>662</v>
      </c>
      <c r="S110" s="16" t="s">
        <v>663</v>
      </c>
      <c r="T110" s="16" t="s">
        <v>664</v>
      </c>
      <c r="U110" s="16" t="s">
        <v>395</v>
      </c>
      <c r="V110" s="16" t="s">
        <v>395</v>
      </c>
      <c r="W110" s="16" t="s">
        <v>395</v>
      </c>
      <c r="X110" s="16" t="s">
        <v>397</v>
      </c>
      <c r="Y110" s="16" t="s">
        <v>397</v>
      </c>
      <c r="Z110" s="16" t="s">
        <v>397</v>
      </c>
      <c r="AA110" s="16" t="s">
        <v>665</v>
      </c>
      <c r="AB110" s="16" t="s">
        <v>399</v>
      </c>
    </row>
    <row r="111" spans="1:28" s="16" customFormat="1" ht="15" x14ac:dyDescent="0.25">
      <c r="A111" s="16" t="str">
        <f>VLOOKUP(E111,COTI!F:F,1,FALSE)</f>
        <v>U54</v>
      </c>
      <c r="B111" s="16" t="s">
        <v>1179</v>
      </c>
      <c r="C111" s="16" t="s">
        <v>1175</v>
      </c>
      <c r="D111" s="16" t="s">
        <v>24</v>
      </c>
      <c r="E111" s="16" t="s">
        <v>53</v>
      </c>
      <c r="F111" s="16" t="s">
        <v>54</v>
      </c>
      <c r="G111" s="16">
        <v>9</v>
      </c>
      <c r="H111" s="16" t="s">
        <v>386</v>
      </c>
      <c r="I111" s="16" t="s">
        <v>387</v>
      </c>
      <c r="J111" s="16">
        <v>20181017</v>
      </c>
      <c r="K111" s="16">
        <v>70</v>
      </c>
      <c r="L111" s="16">
        <v>2019</v>
      </c>
      <c r="M111" s="16" t="s">
        <v>389</v>
      </c>
      <c r="N111" s="16" t="s">
        <v>390</v>
      </c>
      <c r="O111" s="16" t="s">
        <v>391</v>
      </c>
      <c r="P111" s="16" t="s">
        <v>392</v>
      </c>
      <c r="Q111" s="16">
        <v>20181017</v>
      </c>
      <c r="R111" s="16">
        <v>91916</v>
      </c>
      <c r="S111" s="16" t="s">
        <v>399</v>
      </c>
      <c r="T111" s="16" t="s">
        <v>399</v>
      </c>
      <c r="U111" s="16" t="s">
        <v>399</v>
      </c>
      <c r="V111" s="16" t="s">
        <v>399</v>
      </c>
      <c r="W111" s="16" t="s">
        <v>399</v>
      </c>
      <c r="X111" s="16" t="s">
        <v>396</v>
      </c>
      <c r="Y111" s="16" t="s">
        <v>397</v>
      </c>
      <c r="Z111" s="16" t="s">
        <v>397</v>
      </c>
      <c r="AA111" s="16" t="s">
        <v>666</v>
      </c>
      <c r="AB111" s="16" t="s">
        <v>399</v>
      </c>
    </row>
    <row r="112" spans="1:28" x14ac:dyDescent="0.2">
      <c r="A112" t="str">
        <f>VLOOKUP(E112,COTI!F:F,1,FALSE)</f>
        <v>WBL</v>
      </c>
      <c r="D112" t="s">
        <v>24</v>
      </c>
      <c r="E112" t="s">
        <v>51</v>
      </c>
      <c r="F112" t="s">
        <v>52</v>
      </c>
      <c r="G112">
        <v>12</v>
      </c>
      <c r="H112" t="s">
        <v>435</v>
      </c>
      <c r="I112" t="s">
        <v>387</v>
      </c>
      <c r="J112">
        <v>20210616</v>
      </c>
      <c r="K112">
        <v>59</v>
      </c>
      <c r="L112" t="s">
        <v>388</v>
      </c>
      <c r="M112" t="s">
        <v>389</v>
      </c>
      <c r="N112" t="s">
        <v>390</v>
      </c>
      <c r="O112" t="s">
        <v>391</v>
      </c>
      <c r="P112" t="s">
        <v>392</v>
      </c>
      <c r="Q112">
        <v>20210616</v>
      </c>
      <c r="R112" t="s">
        <v>393</v>
      </c>
      <c r="S112" t="s">
        <v>395</v>
      </c>
      <c r="T112" t="s">
        <v>395</v>
      </c>
      <c r="U112" t="s">
        <v>395</v>
      </c>
      <c r="V112" t="s">
        <v>395</v>
      </c>
      <c r="W112" t="s">
        <v>667</v>
      </c>
      <c r="X112" t="s">
        <v>397</v>
      </c>
      <c r="Y112" t="s">
        <v>397</v>
      </c>
      <c r="Z112" t="s">
        <v>397</v>
      </c>
      <c r="AA112" t="s">
        <v>668</v>
      </c>
      <c r="AB112" t="s">
        <v>399</v>
      </c>
    </row>
    <row r="113" spans="1:28" x14ac:dyDescent="0.2">
      <c r="A113" t="str">
        <f>VLOOKUP(E113,COTI!F:F,1,FALSE)</f>
        <v>WD2</v>
      </c>
      <c r="D113" t="s">
        <v>24</v>
      </c>
      <c r="E113" t="s">
        <v>49</v>
      </c>
      <c r="F113" t="s">
        <v>50</v>
      </c>
      <c r="G113">
        <v>14</v>
      </c>
      <c r="H113" t="s">
        <v>669</v>
      </c>
      <c r="I113" t="s">
        <v>387</v>
      </c>
      <c r="J113">
        <v>20210727</v>
      </c>
      <c r="K113">
        <v>56</v>
      </c>
      <c r="L113" t="s">
        <v>388</v>
      </c>
      <c r="M113" t="s">
        <v>389</v>
      </c>
      <c r="N113" t="s">
        <v>390</v>
      </c>
      <c r="O113" t="s">
        <v>391</v>
      </c>
      <c r="P113" t="s">
        <v>392</v>
      </c>
      <c r="Q113">
        <v>20210727</v>
      </c>
      <c r="R113" t="s">
        <v>670</v>
      </c>
      <c r="S113" t="s">
        <v>395</v>
      </c>
      <c r="T113" t="s">
        <v>395</v>
      </c>
      <c r="U113" t="s">
        <v>395</v>
      </c>
      <c r="V113" t="s">
        <v>395</v>
      </c>
      <c r="W113" t="s">
        <v>671</v>
      </c>
      <c r="X113" t="s">
        <v>397</v>
      </c>
      <c r="Y113" t="s">
        <v>399</v>
      </c>
      <c r="Z113" t="s">
        <v>397</v>
      </c>
      <c r="AA113" t="s">
        <v>672</v>
      </c>
      <c r="AB113" t="s">
        <v>399</v>
      </c>
    </row>
    <row r="114" spans="1:28" s="17" customFormat="1" ht="15" x14ac:dyDescent="0.25">
      <c r="A114" s="17" t="str">
        <f>VLOOKUP(E114,COTI!F:F,1,FALSE)</f>
        <v>WDM</v>
      </c>
      <c r="B114" s="17" t="s">
        <v>1176</v>
      </c>
      <c r="C114" s="17" t="s">
        <v>1181</v>
      </c>
      <c r="D114" s="17" t="s">
        <v>24</v>
      </c>
      <c r="E114" s="17" t="s">
        <v>47</v>
      </c>
      <c r="F114" s="17" t="s">
        <v>48</v>
      </c>
      <c r="G114" s="17">
        <v>15</v>
      </c>
      <c r="H114" s="17" t="s">
        <v>386</v>
      </c>
      <c r="I114" s="17" t="s">
        <v>387</v>
      </c>
      <c r="J114" s="17">
        <v>20201007</v>
      </c>
      <c r="K114" s="17">
        <v>60</v>
      </c>
      <c r="L114" s="17" t="s">
        <v>673</v>
      </c>
      <c r="M114" s="17" t="s">
        <v>389</v>
      </c>
      <c r="N114" s="17" t="s">
        <v>390</v>
      </c>
      <c r="O114" s="17" t="s">
        <v>391</v>
      </c>
      <c r="P114" s="17" t="s">
        <v>392</v>
      </c>
      <c r="Q114" s="17">
        <v>20201007</v>
      </c>
      <c r="R114" s="17">
        <v>101922</v>
      </c>
      <c r="S114" s="17" t="s">
        <v>399</v>
      </c>
      <c r="T114" s="17" t="s">
        <v>399</v>
      </c>
      <c r="U114" s="17" t="s">
        <v>399</v>
      </c>
      <c r="V114" s="17" t="s">
        <v>399</v>
      </c>
      <c r="W114" s="17" t="s">
        <v>399</v>
      </c>
      <c r="X114" s="17" t="s">
        <v>397</v>
      </c>
      <c r="Y114" s="17" t="s">
        <v>397</v>
      </c>
      <c r="Z114" s="17" t="s">
        <v>397</v>
      </c>
      <c r="AA114" s="17" t="s">
        <v>674</v>
      </c>
      <c r="AB114" s="17" t="s">
        <v>399</v>
      </c>
    </row>
    <row r="115" spans="1:28" x14ac:dyDescent="0.2">
      <c r="A115" t="str">
        <f>VLOOKUP(E115,COTI!F:F,1,FALSE)</f>
        <v>WEL</v>
      </c>
      <c r="D115" t="s">
        <v>24</v>
      </c>
      <c r="E115" t="s">
        <v>45</v>
      </c>
      <c r="F115" t="s">
        <v>46</v>
      </c>
      <c r="G115">
        <v>11</v>
      </c>
      <c r="H115" t="s">
        <v>435</v>
      </c>
      <c r="I115" t="s">
        <v>387</v>
      </c>
      <c r="J115">
        <v>20210621</v>
      </c>
      <c r="K115">
        <v>28.25</v>
      </c>
      <c r="L115" t="s">
        <v>388</v>
      </c>
      <c r="M115" t="s">
        <v>389</v>
      </c>
      <c r="N115" t="s">
        <v>390</v>
      </c>
      <c r="O115" t="s">
        <v>391</v>
      </c>
      <c r="P115" t="s">
        <v>392</v>
      </c>
      <c r="Q115">
        <v>20210621</v>
      </c>
      <c r="R115" t="s">
        <v>393</v>
      </c>
      <c r="S115" t="s">
        <v>395</v>
      </c>
      <c r="T115" t="s">
        <v>395</v>
      </c>
      <c r="U115" t="s">
        <v>395</v>
      </c>
      <c r="V115" t="s">
        <v>395</v>
      </c>
      <c r="W115" t="s">
        <v>675</v>
      </c>
      <c r="X115" t="s">
        <v>397</v>
      </c>
      <c r="Y115" t="s">
        <v>399</v>
      </c>
      <c r="Z115" t="s">
        <v>397</v>
      </c>
      <c r="AA115" t="s">
        <v>676</v>
      </c>
      <c r="AB115" t="s">
        <v>399</v>
      </c>
    </row>
    <row r="116" spans="1:28" x14ac:dyDescent="0.2">
      <c r="A116" t="str">
        <f>VLOOKUP(E116,COTI!F:F,1,FALSE)</f>
        <v>WJY</v>
      </c>
      <c r="D116" t="s">
        <v>24</v>
      </c>
      <c r="E116" t="s">
        <v>677</v>
      </c>
      <c r="F116" t="s">
        <v>678</v>
      </c>
      <c r="G116">
        <v>1</v>
      </c>
      <c r="H116" t="s">
        <v>679</v>
      </c>
      <c r="I116" t="s">
        <v>427</v>
      </c>
      <c r="J116">
        <v>20210625</v>
      </c>
      <c r="K116">
        <v>60.26</v>
      </c>
      <c r="L116" t="s">
        <v>388</v>
      </c>
      <c r="M116" t="s">
        <v>389</v>
      </c>
      <c r="N116" t="s">
        <v>390</v>
      </c>
      <c r="O116" t="s">
        <v>391</v>
      </c>
      <c r="P116" t="s">
        <v>392</v>
      </c>
      <c r="Q116">
        <v>20210625</v>
      </c>
      <c r="R116" t="s">
        <v>393</v>
      </c>
      <c r="S116" t="s">
        <v>395</v>
      </c>
      <c r="T116" t="s">
        <v>395</v>
      </c>
      <c r="U116" t="s">
        <v>395</v>
      </c>
      <c r="V116" t="s">
        <v>395</v>
      </c>
      <c r="W116" t="s">
        <v>680</v>
      </c>
      <c r="X116" t="s">
        <v>397</v>
      </c>
      <c r="Y116" t="s">
        <v>399</v>
      </c>
      <c r="Z116" t="s">
        <v>397</v>
      </c>
      <c r="AA116" t="s">
        <v>681</v>
      </c>
      <c r="AB116" t="s">
        <v>399</v>
      </c>
    </row>
    <row r="117" spans="1:28" x14ac:dyDescent="0.2">
      <c r="A117" t="str">
        <f>VLOOKUP(E117,COTI!F:F,1,FALSE)</f>
        <v>WKG</v>
      </c>
      <c r="D117" t="s">
        <v>24</v>
      </c>
      <c r="E117" t="s">
        <v>43</v>
      </c>
      <c r="F117" t="s">
        <v>44</v>
      </c>
      <c r="G117">
        <v>27</v>
      </c>
      <c r="H117" t="s">
        <v>435</v>
      </c>
      <c r="I117" t="s">
        <v>387</v>
      </c>
      <c r="J117">
        <v>20210805</v>
      </c>
      <c r="K117">
        <v>60.26</v>
      </c>
      <c r="L117" t="s">
        <v>388</v>
      </c>
      <c r="M117" t="s">
        <v>389</v>
      </c>
      <c r="N117" t="s">
        <v>390</v>
      </c>
      <c r="O117" t="s">
        <v>391</v>
      </c>
      <c r="P117" t="s">
        <v>392</v>
      </c>
      <c r="Q117">
        <v>20210805</v>
      </c>
      <c r="R117">
        <v>104344</v>
      </c>
      <c r="S117" t="s">
        <v>395</v>
      </c>
      <c r="T117" t="s">
        <v>395</v>
      </c>
      <c r="U117" t="s">
        <v>395</v>
      </c>
      <c r="V117" t="s">
        <v>395</v>
      </c>
      <c r="W117" t="s">
        <v>682</v>
      </c>
      <c r="X117" t="s">
        <v>399</v>
      </c>
      <c r="Y117" t="s">
        <v>399</v>
      </c>
      <c r="Z117" t="s">
        <v>397</v>
      </c>
      <c r="AA117" t="s">
        <v>683</v>
      </c>
      <c r="AB117" t="s">
        <v>399</v>
      </c>
    </row>
    <row r="118" spans="1:28" x14ac:dyDescent="0.2">
      <c r="A118" t="str">
        <f>VLOOKUP(E118,COTI!F:F,1,FALSE)</f>
        <v>WKJ</v>
      </c>
      <c r="D118" t="s">
        <v>24</v>
      </c>
      <c r="E118" t="s">
        <v>41</v>
      </c>
      <c r="F118" t="s">
        <v>42</v>
      </c>
      <c r="G118">
        <v>11</v>
      </c>
      <c r="H118" t="s">
        <v>435</v>
      </c>
      <c r="I118" t="s">
        <v>387</v>
      </c>
      <c r="J118">
        <v>20210617</v>
      </c>
      <c r="K118">
        <v>63.28</v>
      </c>
      <c r="L118" t="s">
        <v>388</v>
      </c>
      <c r="M118" t="s">
        <v>389</v>
      </c>
      <c r="N118" t="s">
        <v>390</v>
      </c>
      <c r="O118" t="s">
        <v>391</v>
      </c>
      <c r="P118" t="s">
        <v>392</v>
      </c>
      <c r="Q118">
        <v>20210617</v>
      </c>
      <c r="R118" t="s">
        <v>393</v>
      </c>
      <c r="S118" t="s">
        <v>395</v>
      </c>
      <c r="T118" t="s">
        <v>395</v>
      </c>
      <c r="U118" t="s">
        <v>395</v>
      </c>
      <c r="V118" t="s">
        <v>395</v>
      </c>
      <c r="W118" t="s">
        <v>684</v>
      </c>
      <c r="X118" t="s">
        <v>397</v>
      </c>
      <c r="Y118" t="s">
        <v>397</v>
      </c>
      <c r="Z118" t="s">
        <v>397</v>
      </c>
      <c r="AA118" t="s">
        <v>685</v>
      </c>
      <c r="AB118" t="s">
        <v>399</v>
      </c>
    </row>
    <row r="119" spans="1:28" x14ac:dyDescent="0.2">
      <c r="A119" t="str">
        <f>VLOOKUP(E119,COTI!F:F,1,FALSE)</f>
        <v>WKL</v>
      </c>
      <c r="D119" t="s">
        <v>24</v>
      </c>
      <c r="E119" t="s">
        <v>39</v>
      </c>
      <c r="F119" t="s">
        <v>40</v>
      </c>
      <c r="G119">
        <v>11</v>
      </c>
      <c r="H119" t="s">
        <v>435</v>
      </c>
      <c r="I119" t="s">
        <v>387</v>
      </c>
      <c r="J119">
        <v>20210706</v>
      </c>
      <c r="K119">
        <v>63.28</v>
      </c>
      <c r="L119" t="s">
        <v>388</v>
      </c>
      <c r="M119" t="s">
        <v>389</v>
      </c>
      <c r="N119" t="s">
        <v>390</v>
      </c>
      <c r="O119" t="s">
        <v>391</v>
      </c>
      <c r="P119" t="s">
        <v>392</v>
      </c>
      <c r="Q119">
        <v>20210706</v>
      </c>
      <c r="R119" t="s">
        <v>404</v>
      </c>
      <c r="S119" t="s">
        <v>395</v>
      </c>
      <c r="T119" t="s">
        <v>395</v>
      </c>
      <c r="U119" t="s">
        <v>395</v>
      </c>
      <c r="V119" t="s">
        <v>395</v>
      </c>
      <c r="W119" t="s">
        <v>686</v>
      </c>
      <c r="X119" t="s">
        <v>397</v>
      </c>
      <c r="Y119" t="s">
        <v>397</v>
      </c>
      <c r="Z119" t="s">
        <v>397</v>
      </c>
      <c r="AA119" t="s">
        <v>687</v>
      </c>
      <c r="AB119" t="s">
        <v>399</v>
      </c>
    </row>
    <row r="120" spans="1:28" s="12" customFormat="1" x14ac:dyDescent="0.2">
      <c r="A120" s="12" t="str">
        <f>VLOOKUP(E120,COTI!F:F,1,FALSE)</f>
        <v>WKT</v>
      </c>
      <c r="B120" s="12" t="s">
        <v>1179</v>
      </c>
      <c r="C120" s="12" t="s">
        <v>1177</v>
      </c>
      <c r="D120" s="12" t="s">
        <v>24</v>
      </c>
      <c r="E120" s="12" t="s">
        <v>37</v>
      </c>
      <c r="F120" s="12" t="s">
        <v>38</v>
      </c>
      <c r="G120" s="12">
        <v>8</v>
      </c>
      <c r="H120" s="12" t="s">
        <v>386</v>
      </c>
      <c r="I120" s="12" t="s">
        <v>387</v>
      </c>
      <c r="J120" s="12">
        <v>20170304</v>
      </c>
      <c r="K120" s="12">
        <v>58</v>
      </c>
      <c r="L120" s="12">
        <v>0</v>
      </c>
      <c r="M120" s="12" t="s">
        <v>389</v>
      </c>
      <c r="N120" s="12" t="s">
        <v>390</v>
      </c>
      <c r="O120" s="12" t="s">
        <v>391</v>
      </c>
      <c r="P120" s="12" t="s">
        <v>392</v>
      </c>
      <c r="Q120" s="12">
        <v>20170304</v>
      </c>
      <c r="R120" s="12">
        <v>2017304</v>
      </c>
      <c r="S120" s="12" t="s">
        <v>399</v>
      </c>
      <c r="T120" s="12" t="s">
        <v>399</v>
      </c>
      <c r="U120" s="12" t="s">
        <v>399</v>
      </c>
      <c r="V120" s="12" t="s">
        <v>399</v>
      </c>
      <c r="W120" s="12" t="s">
        <v>399</v>
      </c>
      <c r="X120" s="12" t="s">
        <v>397</v>
      </c>
      <c r="Y120" s="12" t="s">
        <v>397</v>
      </c>
      <c r="Z120" s="12" t="s">
        <v>397</v>
      </c>
      <c r="AA120" s="12" t="s">
        <v>688</v>
      </c>
      <c r="AB120" s="12" t="s">
        <v>399</v>
      </c>
    </row>
    <row r="121" spans="1:28" s="12" customFormat="1" x14ac:dyDescent="0.2">
      <c r="A121" s="12" t="str">
        <f>VLOOKUP(E121,COTI!F:F,1,FALSE)</f>
        <v>WKU</v>
      </c>
      <c r="B121" s="12" t="s">
        <v>1180</v>
      </c>
      <c r="C121" s="12" t="s">
        <v>1178</v>
      </c>
      <c r="D121" s="12" t="s">
        <v>24</v>
      </c>
      <c r="E121" s="12" t="s">
        <v>35</v>
      </c>
      <c r="F121" s="12" t="s">
        <v>36</v>
      </c>
      <c r="G121" s="12">
        <v>9</v>
      </c>
      <c r="H121" s="12" t="s">
        <v>507</v>
      </c>
      <c r="I121" s="12" t="s">
        <v>387</v>
      </c>
      <c r="J121" s="12">
        <v>20160426</v>
      </c>
      <c r="K121" s="12">
        <v>63</v>
      </c>
      <c r="L121" s="12" t="s">
        <v>635</v>
      </c>
      <c r="M121" s="12" t="s">
        <v>389</v>
      </c>
      <c r="N121" s="12" t="s">
        <v>390</v>
      </c>
      <c r="O121" s="12" t="s">
        <v>391</v>
      </c>
      <c r="P121" s="12" t="s">
        <v>392</v>
      </c>
      <c r="Q121" s="12">
        <v>20160426</v>
      </c>
      <c r="R121" s="12" t="s">
        <v>495</v>
      </c>
      <c r="S121" s="12" t="s">
        <v>395</v>
      </c>
      <c r="T121" s="12" t="s">
        <v>395</v>
      </c>
      <c r="U121" s="12" t="s">
        <v>395</v>
      </c>
      <c r="V121" s="12" t="s">
        <v>395</v>
      </c>
      <c r="W121" s="12" t="s">
        <v>395</v>
      </c>
      <c r="X121" s="12" t="s">
        <v>397</v>
      </c>
      <c r="Y121" s="12" t="s">
        <v>397</v>
      </c>
      <c r="Z121" s="12" t="s">
        <v>397</v>
      </c>
      <c r="AA121" s="12" t="s">
        <v>689</v>
      </c>
      <c r="AB121" s="12" t="s">
        <v>399</v>
      </c>
    </row>
    <row r="122" spans="1:28" x14ac:dyDescent="0.2">
      <c r="A122" t="str">
        <f>VLOOKUP(E122,COTI!F:F,1,FALSE)</f>
        <v>WKY</v>
      </c>
      <c r="D122" t="s">
        <v>24</v>
      </c>
      <c r="E122" t="s">
        <v>34</v>
      </c>
      <c r="F122" t="s">
        <v>25</v>
      </c>
      <c r="G122">
        <v>10</v>
      </c>
      <c r="H122" t="s">
        <v>435</v>
      </c>
      <c r="I122" t="s">
        <v>387</v>
      </c>
      <c r="J122">
        <v>20210624</v>
      </c>
      <c r="K122">
        <v>58</v>
      </c>
      <c r="L122" t="s">
        <v>388</v>
      </c>
      <c r="M122" t="s">
        <v>389</v>
      </c>
      <c r="N122" t="s">
        <v>390</v>
      </c>
      <c r="O122" t="s">
        <v>391</v>
      </c>
      <c r="P122" t="s">
        <v>392</v>
      </c>
      <c r="Q122">
        <v>20210624</v>
      </c>
      <c r="R122" t="s">
        <v>393</v>
      </c>
      <c r="S122" t="s">
        <v>395</v>
      </c>
      <c r="T122" t="s">
        <v>395</v>
      </c>
      <c r="U122" t="s">
        <v>395</v>
      </c>
      <c r="V122" t="s">
        <v>395</v>
      </c>
      <c r="W122" t="s">
        <v>690</v>
      </c>
      <c r="X122" t="s">
        <v>397</v>
      </c>
      <c r="Y122" t="s">
        <v>399</v>
      </c>
      <c r="Z122" t="s">
        <v>397</v>
      </c>
      <c r="AA122" t="s">
        <v>691</v>
      </c>
      <c r="AB122" t="s">
        <v>399</v>
      </c>
    </row>
    <row r="123" spans="1:28" x14ac:dyDescent="0.2">
      <c r="A123" t="str">
        <f>VLOOKUP(E123,COTI!F:F,1,FALSE)</f>
        <v>WKZ</v>
      </c>
      <c r="D123" t="s">
        <v>24</v>
      </c>
      <c r="E123" t="s">
        <v>32</v>
      </c>
      <c r="F123" t="s">
        <v>33</v>
      </c>
      <c r="G123">
        <v>21</v>
      </c>
      <c r="H123" t="s">
        <v>435</v>
      </c>
      <c r="I123" t="s">
        <v>387</v>
      </c>
      <c r="J123">
        <v>20210712</v>
      </c>
      <c r="K123">
        <v>55.76</v>
      </c>
      <c r="L123" t="s">
        <v>388</v>
      </c>
      <c r="M123" t="s">
        <v>389</v>
      </c>
      <c r="N123" t="s">
        <v>390</v>
      </c>
      <c r="O123" t="s">
        <v>391</v>
      </c>
      <c r="P123" t="s">
        <v>392</v>
      </c>
      <c r="Q123">
        <v>20210712</v>
      </c>
      <c r="R123">
        <v>103986</v>
      </c>
      <c r="S123" t="s">
        <v>395</v>
      </c>
      <c r="T123" t="s">
        <v>395</v>
      </c>
      <c r="U123" t="s">
        <v>395</v>
      </c>
      <c r="V123" t="s">
        <v>395</v>
      </c>
      <c r="W123" t="s">
        <v>692</v>
      </c>
      <c r="X123" t="s">
        <v>397</v>
      </c>
      <c r="Y123" t="s">
        <v>399</v>
      </c>
      <c r="Z123" t="s">
        <v>397</v>
      </c>
      <c r="AA123" t="s">
        <v>693</v>
      </c>
      <c r="AB123" t="s">
        <v>399</v>
      </c>
    </row>
    <row r="124" spans="1:28" x14ac:dyDescent="0.2">
      <c r="A124" t="str">
        <f>VLOOKUP(E124,COTI!F:F,1,FALSE)</f>
        <v>WNL</v>
      </c>
      <c r="D124" t="s">
        <v>24</v>
      </c>
      <c r="E124" t="s">
        <v>30</v>
      </c>
      <c r="F124" t="s">
        <v>31</v>
      </c>
      <c r="G124">
        <v>10</v>
      </c>
      <c r="H124" t="s">
        <v>435</v>
      </c>
      <c r="I124" t="s">
        <v>387</v>
      </c>
      <c r="J124">
        <v>20210608</v>
      </c>
      <c r="K124">
        <v>58.5</v>
      </c>
      <c r="L124" t="s">
        <v>388</v>
      </c>
      <c r="M124" t="s">
        <v>389</v>
      </c>
      <c r="N124" t="s">
        <v>390</v>
      </c>
      <c r="O124" t="s">
        <v>391</v>
      </c>
      <c r="P124" t="s">
        <v>392</v>
      </c>
      <c r="Q124">
        <v>20210608</v>
      </c>
      <c r="R124" t="s">
        <v>393</v>
      </c>
      <c r="S124" t="s">
        <v>395</v>
      </c>
      <c r="T124" t="s">
        <v>395</v>
      </c>
      <c r="U124" t="s">
        <v>395</v>
      </c>
      <c r="V124" t="s">
        <v>395</v>
      </c>
      <c r="W124" t="s">
        <v>694</v>
      </c>
      <c r="X124" t="s">
        <v>397</v>
      </c>
      <c r="Y124" t="s">
        <v>399</v>
      </c>
      <c r="Z124" t="s">
        <v>397</v>
      </c>
      <c r="AA124" t="s">
        <v>695</v>
      </c>
      <c r="AB124" t="s">
        <v>399</v>
      </c>
    </row>
    <row r="125" spans="1:28" x14ac:dyDescent="0.2">
      <c r="A125" t="str">
        <f>VLOOKUP(E125,COTI!F:F,1,FALSE)</f>
        <v>WPL</v>
      </c>
      <c r="D125" t="s">
        <v>24</v>
      </c>
      <c r="E125" t="s">
        <v>28</v>
      </c>
      <c r="F125" t="s">
        <v>29</v>
      </c>
      <c r="G125">
        <v>9</v>
      </c>
      <c r="H125" t="s">
        <v>696</v>
      </c>
      <c r="I125" t="s">
        <v>387</v>
      </c>
      <c r="J125">
        <v>20210715</v>
      </c>
      <c r="K125">
        <v>54</v>
      </c>
      <c r="L125" t="s">
        <v>388</v>
      </c>
      <c r="M125" t="s">
        <v>389</v>
      </c>
      <c r="N125" t="s">
        <v>390</v>
      </c>
      <c r="O125" t="s">
        <v>391</v>
      </c>
      <c r="P125" t="s">
        <v>392</v>
      </c>
      <c r="Q125">
        <v>20210715</v>
      </c>
      <c r="R125">
        <v>84226</v>
      </c>
      <c r="S125" t="s">
        <v>395</v>
      </c>
      <c r="T125" t="s">
        <v>395</v>
      </c>
      <c r="U125" t="s">
        <v>395</v>
      </c>
      <c r="V125" t="s">
        <v>395</v>
      </c>
      <c r="W125" t="s">
        <v>697</v>
      </c>
      <c r="X125" t="s">
        <v>397</v>
      </c>
      <c r="Y125" t="s">
        <v>399</v>
      </c>
      <c r="Z125" t="s">
        <v>397</v>
      </c>
      <c r="AA125" t="s">
        <v>698</v>
      </c>
      <c r="AB125" t="s">
        <v>399</v>
      </c>
    </row>
    <row r="126" spans="1:28" x14ac:dyDescent="0.2">
      <c r="A126" t="str">
        <f>VLOOKUP(E126,COTI!F:F,1,FALSE)</f>
        <v>XYZ</v>
      </c>
      <c r="D126" t="s">
        <v>24</v>
      </c>
      <c r="E126" t="s">
        <v>22</v>
      </c>
      <c r="F126" t="s">
        <v>23</v>
      </c>
      <c r="G126">
        <v>18</v>
      </c>
      <c r="H126">
        <v>22</v>
      </c>
      <c r="I126" t="s">
        <v>387</v>
      </c>
      <c r="J126">
        <v>20210114</v>
      </c>
      <c r="K126">
        <v>45</v>
      </c>
      <c r="L126" t="s">
        <v>388</v>
      </c>
      <c r="M126" t="s">
        <v>389</v>
      </c>
      <c r="N126" t="s">
        <v>390</v>
      </c>
      <c r="O126" t="s">
        <v>391</v>
      </c>
      <c r="P126" t="s">
        <v>392</v>
      </c>
      <c r="Q126">
        <v>20210114</v>
      </c>
      <c r="R126" t="s">
        <v>393</v>
      </c>
      <c r="S126" t="s">
        <v>395</v>
      </c>
      <c r="T126" t="s">
        <v>395</v>
      </c>
      <c r="U126" t="s">
        <v>395</v>
      </c>
      <c r="V126" t="s">
        <v>395</v>
      </c>
      <c r="W126" t="s">
        <v>699</v>
      </c>
      <c r="X126" t="s">
        <v>399</v>
      </c>
      <c r="Y126" t="s">
        <v>399</v>
      </c>
      <c r="Z126" t="s">
        <v>397</v>
      </c>
      <c r="AA126" t="s">
        <v>700</v>
      </c>
      <c r="AB126" t="s">
        <v>399</v>
      </c>
    </row>
    <row r="127" spans="1:28" s="14" customFormat="1" ht="15" x14ac:dyDescent="0.25">
      <c r="A127" s="14" t="str">
        <f>VLOOKUP(E127,COTI!F:F,1,FALSE)</f>
        <v>MYS</v>
      </c>
      <c r="B127" s="14" t="s">
        <v>1179</v>
      </c>
      <c r="D127" s="14" t="s">
        <v>21</v>
      </c>
      <c r="E127" s="14" t="s">
        <v>19</v>
      </c>
      <c r="F127" s="14" t="s">
        <v>20</v>
      </c>
      <c r="G127" s="14">
        <v>1</v>
      </c>
      <c r="H127" s="14" t="s">
        <v>701</v>
      </c>
      <c r="I127" s="14" t="s">
        <v>427</v>
      </c>
      <c r="J127" s="14">
        <v>20080306</v>
      </c>
      <c r="K127" s="14">
        <v>57</v>
      </c>
      <c r="L127" s="14" t="s">
        <v>431</v>
      </c>
      <c r="M127" s="14" t="s">
        <v>389</v>
      </c>
      <c r="N127" s="14" t="s">
        <v>390</v>
      </c>
      <c r="O127" s="14" t="s">
        <v>391</v>
      </c>
      <c r="P127" s="14" t="s">
        <v>392</v>
      </c>
      <c r="Q127" s="14">
        <v>20080306</v>
      </c>
      <c r="R127" s="14" t="s">
        <v>432</v>
      </c>
      <c r="S127" s="14" t="s">
        <v>702</v>
      </c>
      <c r="T127" s="14" t="s">
        <v>395</v>
      </c>
      <c r="U127" s="14" t="s">
        <v>395</v>
      </c>
      <c r="V127" s="14" t="s">
        <v>395</v>
      </c>
      <c r="W127" s="14" t="s">
        <v>395</v>
      </c>
      <c r="X127" s="14" t="s">
        <v>397</v>
      </c>
      <c r="Y127" s="14" t="s">
        <v>397</v>
      </c>
      <c r="Z127" s="14" t="s">
        <v>397</v>
      </c>
      <c r="AA127" s="14" t="s">
        <v>703</v>
      </c>
      <c r="AB127" s="14" t="s">
        <v>399</v>
      </c>
    </row>
    <row r="128" spans="1:28" s="14" customFormat="1" ht="15" x14ac:dyDescent="0.25">
      <c r="A128" s="14" t="str">
        <f>VLOOKUP(E128,COTI!F:F,1,FALSE)</f>
        <v>THE</v>
      </c>
      <c r="B128" s="14" t="s">
        <v>1179</v>
      </c>
      <c r="D128" s="14" t="s">
        <v>18</v>
      </c>
      <c r="E128" s="14" t="s">
        <v>16</v>
      </c>
      <c r="F128" s="14" t="s">
        <v>17</v>
      </c>
      <c r="G128" s="14">
        <v>3</v>
      </c>
      <c r="H128" s="14" t="s">
        <v>514</v>
      </c>
      <c r="I128" s="14" t="s">
        <v>387</v>
      </c>
      <c r="J128" s="14">
        <v>20090310</v>
      </c>
      <c r="K128" s="14">
        <v>58</v>
      </c>
      <c r="L128" s="14" t="s">
        <v>388</v>
      </c>
      <c r="M128" s="14" t="s">
        <v>389</v>
      </c>
      <c r="N128" s="14" t="s">
        <v>390</v>
      </c>
      <c r="O128" s="14" t="s">
        <v>391</v>
      </c>
      <c r="P128" s="14" t="s">
        <v>392</v>
      </c>
      <c r="Q128" s="14">
        <v>20090310</v>
      </c>
      <c r="R128" s="14" t="s">
        <v>393</v>
      </c>
      <c r="S128" s="14" t="s">
        <v>704</v>
      </c>
      <c r="T128" s="14" t="s">
        <v>395</v>
      </c>
      <c r="U128" s="14" t="s">
        <v>395</v>
      </c>
      <c r="V128" s="14" t="s">
        <v>395</v>
      </c>
      <c r="W128" s="14" t="s">
        <v>395</v>
      </c>
      <c r="X128" s="14" t="s">
        <v>397</v>
      </c>
      <c r="Y128" s="14" t="s">
        <v>397</v>
      </c>
      <c r="Z128" s="14" t="s">
        <v>397</v>
      </c>
      <c r="AA128" s="14" t="s">
        <v>705</v>
      </c>
      <c r="AB128" s="14" t="s">
        <v>399</v>
      </c>
    </row>
    <row r="129" spans="1:28" x14ac:dyDescent="0.2">
      <c r="A129" t="str">
        <f>VLOOKUP(E129,COTI!F:F,1,FALSE)</f>
        <v>RUP</v>
      </c>
      <c r="D129" t="s">
        <v>15</v>
      </c>
      <c r="E129" t="s">
        <v>13</v>
      </c>
      <c r="F129" t="s">
        <v>14</v>
      </c>
      <c r="G129">
        <v>8</v>
      </c>
      <c r="H129" t="s">
        <v>435</v>
      </c>
      <c r="I129" t="s">
        <v>387</v>
      </c>
      <c r="J129">
        <v>20210811</v>
      </c>
      <c r="K129">
        <v>40</v>
      </c>
      <c r="L129" t="s">
        <v>388</v>
      </c>
      <c r="M129" t="s">
        <v>389</v>
      </c>
      <c r="N129" t="s">
        <v>390</v>
      </c>
      <c r="O129" t="s">
        <v>391</v>
      </c>
      <c r="P129" t="s">
        <v>392</v>
      </c>
      <c r="Q129">
        <v>20210811</v>
      </c>
      <c r="R129" t="s">
        <v>706</v>
      </c>
      <c r="S129" t="s">
        <v>395</v>
      </c>
      <c r="T129" t="s">
        <v>395</v>
      </c>
      <c r="U129" t="s">
        <v>395</v>
      </c>
      <c r="V129" t="s">
        <v>395</v>
      </c>
      <c r="W129" t="s">
        <v>707</v>
      </c>
      <c r="X129" t="s">
        <v>399</v>
      </c>
      <c r="Y129" t="s">
        <v>399</v>
      </c>
      <c r="Z129" t="s">
        <v>397</v>
      </c>
      <c r="AA129" t="s">
        <v>708</v>
      </c>
      <c r="AB129" t="s">
        <v>399</v>
      </c>
    </row>
    <row r="130" spans="1:28" x14ac:dyDescent="0.2">
      <c r="A130" t="str">
        <f>VLOOKUP(E130,COTI!F:F,1,FALSE)</f>
        <v>WPI</v>
      </c>
      <c r="D130" t="s">
        <v>12</v>
      </c>
      <c r="E130" t="s">
        <v>10</v>
      </c>
      <c r="F130" t="s">
        <v>11</v>
      </c>
      <c r="G130">
        <v>5</v>
      </c>
      <c r="H130" t="s">
        <v>709</v>
      </c>
      <c r="I130" t="s">
        <v>387</v>
      </c>
      <c r="J130">
        <v>20210615</v>
      </c>
      <c r="K130">
        <v>35</v>
      </c>
      <c r="L130" t="s">
        <v>388</v>
      </c>
      <c r="M130" t="s">
        <v>389</v>
      </c>
      <c r="N130" t="s">
        <v>390</v>
      </c>
      <c r="O130" t="s">
        <v>391</v>
      </c>
      <c r="P130" t="s">
        <v>392</v>
      </c>
      <c r="Q130">
        <v>20210615</v>
      </c>
      <c r="R130" t="s">
        <v>393</v>
      </c>
      <c r="S130" t="s">
        <v>395</v>
      </c>
      <c r="T130" t="s">
        <v>395</v>
      </c>
      <c r="U130" t="s">
        <v>395</v>
      </c>
      <c r="V130" t="s">
        <v>395</v>
      </c>
      <c r="W130" t="s">
        <v>710</v>
      </c>
      <c r="X130" t="s">
        <v>396</v>
      </c>
      <c r="Y130" t="s">
        <v>397</v>
      </c>
      <c r="Z130" t="s">
        <v>397</v>
      </c>
      <c r="AA130" t="s">
        <v>711</v>
      </c>
      <c r="AB130" t="s">
        <v>399</v>
      </c>
    </row>
    <row r="131" spans="1:28" s="4" customFormat="1" x14ac:dyDescent="0.2">
      <c r="A131" s="4" t="e">
        <f>VLOOKUP(E131,COTI!F:F,1,FALSE)</f>
        <v>#N/A</v>
      </c>
      <c r="D131" s="4" t="s">
        <v>7</v>
      </c>
      <c r="E131" s="4" t="s">
        <v>712</v>
      </c>
      <c r="F131" s="4" t="s">
        <v>713</v>
      </c>
      <c r="G131" s="4">
        <v>2</v>
      </c>
      <c r="H131" s="4" t="s">
        <v>679</v>
      </c>
      <c r="I131" s="4" t="s">
        <v>387</v>
      </c>
      <c r="J131" s="4">
        <v>20210814</v>
      </c>
      <c r="K131" s="4">
        <v>30</v>
      </c>
      <c r="L131" s="4" t="s">
        <v>388</v>
      </c>
      <c r="M131" s="4" t="s">
        <v>389</v>
      </c>
      <c r="N131" s="4" t="s">
        <v>390</v>
      </c>
      <c r="O131" s="4" t="s">
        <v>391</v>
      </c>
      <c r="P131" s="4" t="s">
        <v>392</v>
      </c>
      <c r="Q131" s="4">
        <v>20210814</v>
      </c>
      <c r="R131" s="4" t="s">
        <v>404</v>
      </c>
      <c r="S131" s="4" t="s">
        <v>395</v>
      </c>
      <c r="T131" s="4" t="s">
        <v>395</v>
      </c>
      <c r="U131" s="4" t="s">
        <v>395</v>
      </c>
      <c r="V131" s="4" t="s">
        <v>395</v>
      </c>
      <c r="W131" s="4" t="s">
        <v>714</v>
      </c>
      <c r="X131" s="4" t="s">
        <v>399</v>
      </c>
      <c r="Y131" s="4" t="s">
        <v>399</v>
      </c>
      <c r="Z131" s="4" t="s">
        <v>397</v>
      </c>
      <c r="AA131" s="4" t="s">
        <v>715</v>
      </c>
      <c r="AB131" s="4" t="s">
        <v>399</v>
      </c>
    </row>
    <row r="132" spans="1:28" s="4" customFormat="1" x14ac:dyDescent="0.2">
      <c r="A132" s="4" t="e">
        <f>VLOOKUP(E132,COTI!F:F,1,FALSE)</f>
        <v>#N/A</v>
      </c>
      <c r="D132" s="4" t="s">
        <v>7</v>
      </c>
      <c r="E132" s="4" t="s">
        <v>716</v>
      </c>
      <c r="F132" s="4" t="s">
        <v>717</v>
      </c>
      <c r="G132" s="4">
        <v>2</v>
      </c>
      <c r="H132" s="4" t="s">
        <v>679</v>
      </c>
      <c r="I132" s="4" t="s">
        <v>387</v>
      </c>
      <c r="J132" s="4">
        <v>20210814</v>
      </c>
      <c r="K132" s="4">
        <v>30</v>
      </c>
      <c r="L132" s="4" t="s">
        <v>388</v>
      </c>
      <c r="M132" s="4" t="s">
        <v>389</v>
      </c>
      <c r="N132" s="4" t="s">
        <v>390</v>
      </c>
      <c r="O132" s="4" t="s">
        <v>391</v>
      </c>
      <c r="P132" s="4" t="s">
        <v>392</v>
      </c>
      <c r="Q132" s="4">
        <v>20210814</v>
      </c>
      <c r="R132" s="15">
        <v>44418</v>
      </c>
      <c r="S132" s="4" t="s">
        <v>395</v>
      </c>
      <c r="T132" s="4" t="s">
        <v>395</v>
      </c>
      <c r="U132" s="4" t="s">
        <v>395</v>
      </c>
      <c r="V132" s="4" t="s">
        <v>395</v>
      </c>
      <c r="W132" s="4" t="s">
        <v>718</v>
      </c>
      <c r="X132" s="4" t="s">
        <v>399</v>
      </c>
      <c r="Y132" s="4" t="s">
        <v>399</v>
      </c>
      <c r="Z132" s="4" t="s">
        <v>397</v>
      </c>
      <c r="AA132" s="4" t="s">
        <v>719</v>
      </c>
      <c r="AB132" s="4" t="s">
        <v>399</v>
      </c>
    </row>
    <row r="133" spans="1:28" s="17" customFormat="1" ht="15" x14ac:dyDescent="0.25">
      <c r="A133" s="17" t="str">
        <f>VLOOKUP(E133,COTI!F:F,1,FALSE)</f>
        <v>YWD</v>
      </c>
      <c r="B133" s="17" t="s">
        <v>947</v>
      </c>
      <c r="C133" s="17" t="s">
        <v>1181</v>
      </c>
      <c r="D133" s="17" t="s">
        <v>7</v>
      </c>
      <c r="E133" s="17" t="s">
        <v>8</v>
      </c>
      <c r="F133" s="17" t="s">
        <v>9</v>
      </c>
      <c r="G133" s="17">
        <v>2</v>
      </c>
      <c r="H133" s="17" t="s">
        <v>386</v>
      </c>
      <c r="I133" s="17" t="s">
        <v>387</v>
      </c>
      <c r="J133" s="17">
        <v>20201022</v>
      </c>
      <c r="K133" s="17">
        <v>33</v>
      </c>
      <c r="L133" s="17" t="s">
        <v>549</v>
      </c>
      <c r="M133" s="17" t="s">
        <v>389</v>
      </c>
      <c r="N133" s="17" t="s">
        <v>390</v>
      </c>
      <c r="O133" s="17" t="s">
        <v>391</v>
      </c>
      <c r="P133" s="17" t="s">
        <v>392</v>
      </c>
      <c r="Q133" s="17">
        <v>20201022</v>
      </c>
      <c r="R133" s="17" t="s">
        <v>445</v>
      </c>
      <c r="S133" s="17" t="s">
        <v>399</v>
      </c>
      <c r="T133" s="17" t="s">
        <v>399</v>
      </c>
      <c r="U133" s="17" t="s">
        <v>399</v>
      </c>
      <c r="V133" s="17" t="s">
        <v>399</v>
      </c>
      <c r="W133" s="17" t="s">
        <v>399</v>
      </c>
      <c r="X133" s="17" t="s">
        <v>397</v>
      </c>
      <c r="Y133" s="17" t="s">
        <v>397</v>
      </c>
      <c r="Z133" s="17" t="s">
        <v>397</v>
      </c>
      <c r="AA133" s="17" t="s">
        <v>720</v>
      </c>
      <c r="AB133" s="17" t="s">
        <v>399</v>
      </c>
    </row>
    <row r="134" spans="1:28" s="17" customFormat="1" ht="15" x14ac:dyDescent="0.25">
      <c r="A134" s="17" t="str">
        <f>VLOOKUP(E134,COTI!F:F,1,FALSE)</f>
        <v>YWS</v>
      </c>
      <c r="B134" s="17" t="s">
        <v>947</v>
      </c>
      <c r="D134" s="17" t="s">
        <v>7</v>
      </c>
      <c r="E134" s="17" t="s">
        <v>5</v>
      </c>
      <c r="F134" s="17" t="s">
        <v>6</v>
      </c>
      <c r="G134" s="17">
        <v>2</v>
      </c>
      <c r="H134" s="17" t="s">
        <v>386</v>
      </c>
      <c r="I134" s="17" t="s">
        <v>387</v>
      </c>
      <c r="J134" s="17">
        <v>20200925</v>
      </c>
      <c r="K134" s="17">
        <v>32</v>
      </c>
      <c r="L134" s="17">
        <v>1</v>
      </c>
      <c r="M134" s="17" t="s">
        <v>389</v>
      </c>
      <c r="N134" s="17" t="s">
        <v>390</v>
      </c>
      <c r="O134" s="17" t="s">
        <v>391</v>
      </c>
      <c r="P134" s="17" t="s">
        <v>392</v>
      </c>
      <c r="Q134" s="17">
        <v>20200925</v>
      </c>
      <c r="R134" s="17">
        <v>82120</v>
      </c>
      <c r="S134" s="17" t="s">
        <v>399</v>
      </c>
      <c r="T134" s="17" t="s">
        <v>399</v>
      </c>
      <c r="U134" s="17" t="s">
        <v>399</v>
      </c>
      <c r="V134" s="17" t="s">
        <v>399</v>
      </c>
      <c r="W134" s="17" t="s">
        <v>399</v>
      </c>
      <c r="X134" s="17" t="s">
        <v>397</v>
      </c>
      <c r="Y134" s="17" t="s">
        <v>397</v>
      </c>
      <c r="Z134" s="17" t="s">
        <v>397</v>
      </c>
      <c r="AA134" s="17" t="s">
        <v>721</v>
      </c>
      <c r="AB134" s="17" t="s">
        <v>399</v>
      </c>
    </row>
    <row r="135" spans="1:28" x14ac:dyDescent="0.2">
      <c r="A135" t="str">
        <f>VLOOKUP(E135,COTI!F:F,1,FALSE)</f>
        <v>YC4</v>
      </c>
      <c r="D135" t="s">
        <v>2</v>
      </c>
      <c r="E135" t="s">
        <v>3</v>
      </c>
      <c r="F135" t="s">
        <v>4</v>
      </c>
      <c r="G135">
        <v>9</v>
      </c>
      <c r="H135" t="s">
        <v>722</v>
      </c>
      <c r="I135" t="s">
        <v>387</v>
      </c>
      <c r="J135">
        <v>20210811</v>
      </c>
      <c r="K135">
        <v>30</v>
      </c>
      <c r="L135" t="s">
        <v>388</v>
      </c>
      <c r="M135" t="s">
        <v>389</v>
      </c>
      <c r="N135" t="s">
        <v>390</v>
      </c>
      <c r="O135" t="s">
        <v>391</v>
      </c>
      <c r="P135" t="s">
        <v>392</v>
      </c>
      <c r="Q135">
        <v>20210811</v>
      </c>
      <c r="R135" t="s">
        <v>404</v>
      </c>
      <c r="S135" t="s">
        <v>395</v>
      </c>
      <c r="T135" t="s">
        <v>395</v>
      </c>
      <c r="U135" t="s">
        <v>395</v>
      </c>
      <c r="V135" t="s">
        <v>395</v>
      </c>
      <c r="W135" t="s">
        <v>723</v>
      </c>
      <c r="X135" t="s">
        <v>396</v>
      </c>
      <c r="Y135" t="s">
        <v>397</v>
      </c>
      <c r="Z135" t="s">
        <v>397</v>
      </c>
      <c r="AA135" t="s">
        <v>724</v>
      </c>
      <c r="AB135" t="s">
        <v>399</v>
      </c>
    </row>
    <row r="136" spans="1:28" x14ac:dyDescent="0.2">
      <c r="A136" t="str">
        <f>VLOOKUP(E136,COTI!F:F,1,FALSE)</f>
        <v>YC5</v>
      </c>
      <c r="D136" t="s">
        <v>2</v>
      </c>
      <c r="E136" t="s">
        <v>0</v>
      </c>
      <c r="F136" t="s">
        <v>1</v>
      </c>
      <c r="G136">
        <v>12</v>
      </c>
      <c r="H136" t="s">
        <v>725</v>
      </c>
      <c r="I136" t="s">
        <v>387</v>
      </c>
      <c r="J136">
        <v>20210802</v>
      </c>
      <c r="K136">
        <v>30</v>
      </c>
      <c r="L136" t="s">
        <v>388</v>
      </c>
      <c r="M136" t="s">
        <v>389</v>
      </c>
      <c r="N136" t="s">
        <v>390</v>
      </c>
      <c r="O136" t="s">
        <v>391</v>
      </c>
      <c r="P136" t="s">
        <v>392</v>
      </c>
      <c r="Q136">
        <v>20210802</v>
      </c>
      <c r="R136" t="s">
        <v>404</v>
      </c>
      <c r="S136" t="s">
        <v>395</v>
      </c>
      <c r="T136" t="s">
        <v>395</v>
      </c>
      <c r="U136" t="s">
        <v>395</v>
      </c>
      <c r="V136" t="s">
        <v>395</v>
      </c>
      <c r="W136" t="s">
        <v>726</v>
      </c>
      <c r="X136" t="s">
        <v>397</v>
      </c>
      <c r="Y136" t="s">
        <v>399</v>
      </c>
      <c r="Z136" t="s">
        <v>397</v>
      </c>
      <c r="AA136" t="s">
        <v>727</v>
      </c>
      <c r="AB136" t="s">
        <v>399</v>
      </c>
    </row>
  </sheetData>
  <conditionalFormatting sqref="E1:E114 E116:E124 E126:E1048576">
    <cfRule type="duplicateValues" dxfId="2" priority="3"/>
  </conditionalFormatting>
  <conditionalFormatting sqref="E115">
    <cfRule type="duplicateValues" dxfId="1" priority="2"/>
  </conditionalFormatting>
  <conditionalFormatting sqref="E125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60F9-BCA2-4336-B7FD-FE735240B415}">
  <sheetPr>
    <tabColor rgb="FFFFFF00"/>
  </sheetPr>
  <dimension ref="B3:G158"/>
  <sheetViews>
    <sheetView workbookViewId="0">
      <selection activeCell="C4" sqref="C4:C158"/>
    </sheetView>
  </sheetViews>
  <sheetFormatPr baseColWidth="10" defaultRowHeight="12.75" x14ac:dyDescent="0.2"/>
  <cols>
    <col min="2" max="2" width="61.5703125" bestFit="1" customWidth="1"/>
    <col min="4" max="4" width="23.140625" bestFit="1" customWidth="1"/>
    <col min="5" max="5" width="35" bestFit="1" customWidth="1"/>
    <col min="6" max="6" width="30.85546875" bestFit="1" customWidth="1"/>
    <col min="7" max="7" width="31" bestFit="1" customWidth="1"/>
  </cols>
  <sheetData>
    <row r="3" spans="2:7" s="12" customFormat="1" x14ac:dyDescent="0.2">
      <c r="B3" s="12" t="s">
        <v>728</v>
      </c>
      <c r="C3" s="12" t="s">
        <v>729</v>
      </c>
      <c r="D3" s="12" t="s">
        <v>360</v>
      </c>
      <c r="E3" s="12" t="s">
        <v>730</v>
      </c>
      <c r="F3" s="12" t="s">
        <v>731</v>
      </c>
      <c r="G3" s="12" t="s">
        <v>732</v>
      </c>
    </row>
    <row r="4" spans="2:7" x14ac:dyDescent="0.2">
      <c r="B4" t="s">
        <v>733</v>
      </c>
      <c r="C4" t="s">
        <v>307</v>
      </c>
      <c r="D4" t="s">
        <v>324</v>
      </c>
      <c r="E4" t="s">
        <v>734</v>
      </c>
      <c r="F4" t="s">
        <v>305</v>
      </c>
    </row>
    <row r="5" spans="2:7" x14ac:dyDescent="0.2">
      <c r="B5" t="s">
        <v>735</v>
      </c>
      <c r="C5" t="s">
        <v>304</v>
      </c>
      <c r="D5" t="s">
        <v>325</v>
      </c>
      <c r="E5" t="s">
        <v>736</v>
      </c>
      <c r="F5" t="s">
        <v>302</v>
      </c>
    </row>
    <row r="6" spans="2:7" x14ac:dyDescent="0.2">
      <c r="B6" t="s">
        <v>737</v>
      </c>
      <c r="C6" t="s">
        <v>301</v>
      </c>
      <c r="D6" t="s">
        <v>738</v>
      </c>
      <c r="E6" t="s">
        <v>739</v>
      </c>
      <c r="F6" t="s">
        <v>299</v>
      </c>
      <c r="G6" t="s">
        <v>740</v>
      </c>
    </row>
    <row r="7" spans="2:7" x14ac:dyDescent="0.2">
      <c r="B7" t="s">
        <v>741</v>
      </c>
      <c r="C7" t="s">
        <v>298</v>
      </c>
      <c r="D7" t="s">
        <v>324</v>
      </c>
      <c r="E7" t="s">
        <v>742</v>
      </c>
      <c r="F7" t="s">
        <v>296</v>
      </c>
      <c r="G7" t="s">
        <v>297</v>
      </c>
    </row>
    <row r="8" spans="2:7" x14ac:dyDescent="0.2">
      <c r="B8" t="s">
        <v>743</v>
      </c>
      <c r="C8" t="s">
        <v>283</v>
      </c>
      <c r="D8" t="s">
        <v>327</v>
      </c>
      <c r="E8" t="s">
        <v>744</v>
      </c>
      <c r="F8" t="s">
        <v>294</v>
      </c>
      <c r="G8" t="s">
        <v>745</v>
      </c>
    </row>
    <row r="9" spans="2:7" x14ac:dyDescent="0.2">
      <c r="B9" t="s">
        <v>743</v>
      </c>
      <c r="C9" t="s">
        <v>283</v>
      </c>
      <c r="D9" t="s">
        <v>327</v>
      </c>
      <c r="E9" t="s">
        <v>746</v>
      </c>
      <c r="F9" t="s">
        <v>292</v>
      </c>
      <c r="G9" t="s">
        <v>747</v>
      </c>
    </row>
    <row r="10" spans="2:7" x14ac:dyDescent="0.2">
      <c r="B10" t="s">
        <v>743</v>
      </c>
      <c r="C10" t="s">
        <v>283</v>
      </c>
      <c r="D10" t="s">
        <v>327</v>
      </c>
      <c r="E10" t="s">
        <v>748</v>
      </c>
      <c r="F10" t="s">
        <v>290</v>
      </c>
      <c r="G10" t="s">
        <v>749</v>
      </c>
    </row>
    <row r="11" spans="2:7" x14ac:dyDescent="0.2">
      <c r="B11" t="s">
        <v>743</v>
      </c>
      <c r="C11" t="s">
        <v>283</v>
      </c>
      <c r="D11" t="s">
        <v>327</v>
      </c>
      <c r="E11" t="s">
        <v>750</v>
      </c>
      <c r="F11" t="s">
        <v>288</v>
      </c>
      <c r="G11" t="s">
        <v>751</v>
      </c>
    </row>
    <row r="12" spans="2:7" x14ac:dyDescent="0.2">
      <c r="B12" t="s">
        <v>743</v>
      </c>
      <c r="C12" t="s">
        <v>283</v>
      </c>
      <c r="D12" t="s">
        <v>327</v>
      </c>
      <c r="E12" t="s">
        <v>752</v>
      </c>
      <c r="F12" t="s">
        <v>286</v>
      </c>
      <c r="G12" t="s">
        <v>753</v>
      </c>
    </row>
    <row r="13" spans="2:7" x14ac:dyDescent="0.2">
      <c r="B13" t="s">
        <v>743</v>
      </c>
      <c r="C13" t="s">
        <v>283</v>
      </c>
      <c r="D13" t="s">
        <v>327</v>
      </c>
      <c r="E13" t="s">
        <v>754</v>
      </c>
      <c r="F13" t="s">
        <v>284</v>
      </c>
      <c r="G13" t="s">
        <v>755</v>
      </c>
    </row>
    <row r="14" spans="2:7" x14ac:dyDescent="0.2">
      <c r="B14" t="s">
        <v>743</v>
      </c>
      <c r="C14" t="s">
        <v>283</v>
      </c>
      <c r="D14" t="s">
        <v>327</v>
      </c>
      <c r="E14" t="s">
        <v>756</v>
      </c>
      <c r="F14" t="s">
        <v>281</v>
      </c>
      <c r="G14" t="s">
        <v>757</v>
      </c>
    </row>
    <row r="15" spans="2:7" x14ac:dyDescent="0.2">
      <c r="B15" t="s">
        <v>758</v>
      </c>
      <c r="C15" t="s">
        <v>280</v>
      </c>
      <c r="D15" t="s">
        <v>328</v>
      </c>
      <c r="E15" t="s">
        <v>759</v>
      </c>
      <c r="F15" t="s">
        <v>278</v>
      </c>
    </row>
    <row r="16" spans="2:7" x14ac:dyDescent="0.2">
      <c r="B16" t="s">
        <v>760</v>
      </c>
      <c r="C16" t="s">
        <v>277</v>
      </c>
      <c r="D16" t="s">
        <v>329</v>
      </c>
      <c r="E16" t="s">
        <v>761</v>
      </c>
      <c r="F16" t="s">
        <v>276</v>
      </c>
    </row>
    <row r="17" spans="2:7" x14ac:dyDescent="0.2">
      <c r="B17" t="s">
        <v>762</v>
      </c>
      <c r="C17" t="s">
        <v>273</v>
      </c>
      <c r="D17" t="s">
        <v>324</v>
      </c>
      <c r="E17" t="s">
        <v>317</v>
      </c>
      <c r="F17" t="s">
        <v>313</v>
      </c>
      <c r="G17" t="s">
        <v>763</v>
      </c>
    </row>
    <row r="18" spans="2:7" x14ac:dyDescent="0.2">
      <c r="B18" t="s">
        <v>762</v>
      </c>
      <c r="C18" t="s">
        <v>273</v>
      </c>
      <c r="D18" t="s">
        <v>324</v>
      </c>
      <c r="E18" t="s">
        <v>319</v>
      </c>
      <c r="F18" t="s">
        <v>315</v>
      </c>
      <c r="G18" t="s">
        <v>764</v>
      </c>
    </row>
    <row r="19" spans="2:7" x14ac:dyDescent="0.2">
      <c r="B19" t="s">
        <v>762</v>
      </c>
      <c r="C19" t="s">
        <v>273</v>
      </c>
      <c r="D19" t="s">
        <v>324</v>
      </c>
      <c r="E19" t="s">
        <v>765</v>
      </c>
      <c r="F19" t="s">
        <v>274</v>
      </c>
      <c r="G19" t="s">
        <v>766</v>
      </c>
    </row>
    <row r="20" spans="2:7" x14ac:dyDescent="0.2">
      <c r="B20" t="s">
        <v>762</v>
      </c>
      <c r="C20" t="s">
        <v>273</v>
      </c>
      <c r="D20" t="s">
        <v>324</v>
      </c>
      <c r="E20" t="s">
        <v>767</v>
      </c>
      <c r="F20" t="s">
        <v>271</v>
      </c>
      <c r="G20" t="s">
        <v>768</v>
      </c>
    </row>
    <row r="21" spans="2:7" x14ac:dyDescent="0.2">
      <c r="B21" t="s">
        <v>762</v>
      </c>
      <c r="C21" t="s">
        <v>273</v>
      </c>
      <c r="D21" t="s">
        <v>327</v>
      </c>
      <c r="E21" t="s">
        <v>769</v>
      </c>
      <c r="F21" t="s">
        <v>314</v>
      </c>
      <c r="G21" t="s">
        <v>770</v>
      </c>
    </row>
    <row r="22" spans="2:7" x14ac:dyDescent="0.2">
      <c r="B22" t="s">
        <v>762</v>
      </c>
      <c r="C22" t="s">
        <v>273</v>
      </c>
      <c r="D22" t="s">
        <v>327</v>
      </c>
      <c r="E22" t="s">
        <v>771</v>
      </c>
      <c r="F22" t="s">
        <v>316</v>
      </c>
      <c r="G22" t="s">
        <v>772</v>
      </c>
    </row>
    <row r="23" spans="2:7" x14ac:dyDescent="0.2">
      <c r="B23" t="s">
        <v>773</v>
      </c>
      <c r="C23" t="s">
        <v>226</v>
      </c>
      <c r="D23" t="s">
        <v>330</v>
      </c>
      <c r="E23" t="s">
        <v>774</v>
      </c>
      <c r="F23">
        <v>191</v>
      </c>
    </row>
    <row r="24" spans="2:7" x14ac:dyDescent="0.2">
      <c r="B24" t="s">
        <v>773</v>
      </c>
      <c r="C24" t="s">
        <v>226</v>
      </c>
      <c r="D24" t="s">
        <v>330</v>
      </c>
      <c r="E24" t="s">
        <v>775</v>
      </c>
      <c r="F24">
        <v>192</v>
      </c>
    </row>
    <row r="25" spans="2:7" x14ac:dyDescent="0.2">
      <c r="B25" t="s">
        <v>773</v>
      </c>
      <c r="C25" t="s">
        <v>226</v>
      </c>
      <c r="D25" t="s">
        <v>330</v>
      </c>
      <c r="E25" t="s">
        <v>776</v>
      </c>
      <c r="F25" t="s">
        <v>229</v>
      </c>
    </row>
    <row r="26" spans="2:7" x14ac:dyDescent="0.2">
      <c r="B26" t="s">
        <v>773</v>
      </c>
      <c r="C26" t="s">
        <v>226</v>
      </c>
      <c r="D26" t="s">
        <v>330</v>
      </c>
      <c r="E26" t="s">
        <v>777</v>
      </c>
      <c r="F26" t="s">
        <v>227</v>
      </c>
    </row>
    <row r="27" spans="2:7" x14ac:dyDescent="0.2">
      <c r="B27" t="s">
        <v>773</v>
      </c>
      <c r="C27" t="s">
        <v>226</v>
      </c>
      <c r="D27" t="s">
        <v>330</v>
      </c>
      <c r="E27" t="s">
        <v>778</v>
      </c>
      <c r="F27" t="s">
        <v>224</v>
      </c>
    </row>
    <row r="28" spans="2:7" x14ac:dyDescent="0.2">
      <c r="B28" t="s">
        <v>779</v>
      </c>
      <c r="C28" t="s">
        <v>235</v>
      </c>
      <c r="D28" t="s">
        <v>330</v>
      </c>
      <c r="E28" t="s">
        <v>780</v>
      </c>
      <c r="F28">
        <v>193</v>
      </c>
    </row>
    <row r="29" spans="2:7" x14ac:dyDescent="0.2">
      <c r="B29" t="s">
        <v>779</v>
      </c>
      <c r="C29" t="s">
        <v>235</v>
      </c>
      <c r="D29" t="s">
        <v>330</v>
      </c>
      <c r="E29" t="s">
        <v>781</v>
      </c>
      <c r="F29" t="s">
        <v>262</v>
      </c>
    </row>
    <row r="30" spans="2:7" x14ac:dyDescent="0.2">
      <c r="B30" t="s">
        <v>779</v>
      </c>
      <c r="C30" t="s">
        <v>235</v>
      </c>
      <c r="D30" t="s">
        <v>330</v>
      </c>
      <c r="E30" t="s">
        <v>782</v>
      </c>
      <c r="F30" t="s">
        <v>260</v>
      </c>
    </row>
    <row r="31" spans="2:7" x14ac:dyDescent="0.2">
      <c r="B31" t="s">
        <v>779</v>
      </c>
      <c r="C31" t="s">
        <v>235</v>
      </c>
      <c r="D31" t="s">
        <v>330</v>
      </c>
      <c r="E31" t="s">
        <v>776</v>
      </c>
      <c r="F31" t="s">
        <v>259</v>
      </c>
    </row>
    <row r="32" spans="2:7" x14ac:dyDescent="0.2">
      <c r="B32" t="s">
        <v>779</v>
      </c>
      <c r="C32" t="s">
        <v>235</v>
      </c>
      <c r="D32" t="s">
        <v>330</v>
      </c>
      <c r="E32" t="s">
        <v>778</v>
      </c>
      <c r="F32" t="s">
        <v>258</v>
      </c>
    </row>
    <row r="33" spans="2:7" x14ac:dyDescent="0.2">
      <c r="B33" t="s">
        <v>779</v>
      </c>
      <c r="C33" t="s">
        <v>235</v>
      </c>
      <c r="D33" t="s">
        <v>332</v>
      </c>
      <c r="E33" t="s">
        <v>783</v>
      </c>
      <c r="F33" t="s">
        <v>254</v>
      </c>
    </row>
    <row r="34" spans="2:7" x14ac:dyDescent="0.2">
      <c r="B34" t="s">
        <v>779</v>
      </c>
      <c r="C34" t="s">
        <v>235</v>
      </c>
      <c r="D34" t="s">
        <v>332</v>
      </c>
      <c r="E34" t="s">
        <v>784</v>
      </c>
      <c r="F34" t="s">
        <v>252</v>
      </c>
    </row>
    <row r="35" spans="2:7" x14ac:dyDescent="0.2">
      <c r="B35" t="s">
        <v>779</v>
      </c>
      <c r="C35" t="s">
        <v>235</v>
      </c>
      <c r="D35" t="s">
        <v>332</v>
      </c>
      <c r="E35" t="s">
        <v>785</v>
      </c>
      <c r="F35" t="s">
        <v>250</v>
      </c>
      <c r="G35" t="s">
        <v>786</v>
      </c>
    </row>
    <row r="36" spans="2:7" x14ac:dyDescent="0.2">
      <c r="B36" t="s">
        <v>779</v>
      </c>
      <c r="C36" t="s">
        <v>235</v>
      </c>
      <c r="D36" t="s">
        <v>332</v>
      </c>
      <c r="E36" t="s">
        <v>787</v>
      </c>
      <c r="F36" t="s">
        <v>248</v>
      </c>
      <c r="G36" t="s">
        <v>788</v>
      </c>
    </row>
    <row r="37" spans="2:7" x14ac:dyDescent="0.2">
      <c r="B37" t="s">
        <v>779</v>
      </c>
      <c r="C37" t="s">
        <v>235</v>
      </c>
      <c r="D37" t="s">
        <v>353</v>
      </c>
      <c r="E37" t="s">
        <v>789</v>
      </c>
      <c r="F37" t="s">
        <v>256</v>
      </c>
      <c r="G37" t="s">
        <v>257</v>
      </c>
    </row>
    <row r="38" spans="2:7" x14ac:dyDescent="0.2">
      <c r="B38" t="s">
        <v>779</v>
      </c>
      <c r="C38" t="s">
        <v>235</v>
      </c>
      <c r="D38" t="s">
        <v>353</v>
      </c>
      <c r="E38" t="s">
        <v>790</v>
      </c>
      <c r="F38" t="s">
        <v>246</v>
      </c>
      <c r="G38" t="s">
        <v>791</v>
      </c>
    </row>
    <row r="39" spans="2:7" x14ac:dyDescent="0.2">
      <c r="B39" t="s">
        <v>779</v>
      </c>
      <c r="C39" t="s">
        <v>235</v>
      </c>
      <c r="D39" t="s">
        <v>353</v>
      </c>
      <c r="E39" t="s">
        <v>792</v>
      </c>
      <c r="F39" t="s">
        <v>244</v>
      </c>
      <c r="G39" t="s">
        <v>793</v>
      </c>
    </row>
    <row r="40" spans="2:7" x14ac:dyDescent="0.2">
      <c r="B40" t="s">
        <v>779</v>
      </c>
      <c r="C40" t="s">
        <v>235</v>
      </c>
      <c r="D40" t="s">
        <v>331</v>
      </c>
      <c r="E40" t="s">
        <v>794</v>
      </c>
      <c r="F40" t="s">
        <v>269</v>
      </c>
    </row>
    <row r="41" spans="2:7" x14ac:dyDescent="0.2">
      <c r="B41" t="s">
        <v>779</v>
      </c>
      <c r="C41" t="s">
        <v>235</v>
      </c>
      <c r="D41" t="s">
        <v>331</v>
      </c>
      <c r="E41" t="s">
        <v>795</v>
      </c>
      <c r="F41" t="s">
        <v>268</v>
      </c>
    </row>
    <row r="42" spans="2:7" x14ac:dyDescent="0.2">
      <c r="B42" t="s">
        <v>779</v>
      </c>
      <c r="C42" t="s">
        <v>235</v>
      </c>
      <c r="D42" t="s">
        <v>329</v>
      </c>
      <c r="E42" t="s">
        <v>761</v>
      </c>
      <c r="F42" t="s">
        <v>266</v>
      </c>
    </row>
    <row r="43" spans="2:7" x14ac:dyDescent="0.2">
      <c r="B43" t="s">
        <v>779</v>
      </c>
      <c r="C43" t="s">
        <v>235</v>
      </c>
      <c r="D43" t="s">
        <v>329</v>
      </c>
      <c r="E43" t="s">
        <v>796</v>
      </c>
      <c r="F43" t="s">
        <v>265</v>
      </c>
    </row>
    <row r="44" spans="2:7" x14ac:dyDescent="0.2">
      <c r="B44" t="s">
        <v>779</v>
      </c>
      <c r="C44" t="s">
        <v>235</v>
      </c>
      <c r="D44" t="s">
        <v>329</v>
      </c>
      <c r="E44" t="s">
        <v>797</v>
      </c>
      <c r="F44" t="s">
        <v>264</v>
      </c>
    </row>
    <row r="45" spans="2:7" x14ac:dyDescent="0.2">
      <c r="B45" t="s">
        <v>779</v>
      </c>
      <c r="C45" t="s">
        <v>235</v>
      </c>
      <c r="D45" t="s">
        <v>333</v>
      </c>
      <c r="E45" t="s">
        <v>798</v>
      </c>
      <c r="F45" t="s">
        <v>242</v>
      </c>
    </row>
    <row r="46" spans="2:7" x14ac:dyDescent="0.2">
      <c r="B46" t="s">
        <v>779</v>
      </c>
      <c r="C46" t="s">
        <v>235</v>
      </c>
      <c r="D46" t="s">
        <v>333</v>
      </c>
      <c r="E46" t="s">
        <v>799</v>
      </c>
      <c r="F46" t="s">
        <v>240</v>
      </c>
    </row>
    <row r="47" spans="2:7" x14ac:dyDescent="0.2">
      <c r="B47" t="s">
        <v>779</v>
      </c>
      <c r="C47" t="s">
        <v>235</v>
      </c>
      <c r="D47" t="s">
        <v>333</v>
      </c>
      <c r="E47" t="s">
        <v>800</v>
      </c>
      <c r="F47" t="s">
        <v>238</v>
      </c>
    </row>
    <row r="48" spans="2:7" x14ac:dyDescent="0.2">
      <c r="B48" t="s">
        <v>779</v>
      </c>
      <c r="C48" t="s">
        <v>235</v>
      </c>
      <c r="D48" t="s">
        <v>333</v>
      </c>
      <c r="E48" t="s">
        <v>801</v>
      </c>
      <c r="F48" t="s">
        <v>236</v>
      </c>
    </row>
    <row r="49" spans="2:7" x14ac:dyDescent="0.2">
      <c r="B49" t="s">
        <v>779</v>
      </c>
      <c r="C49" t="s">
        <v>235</v>
      </c>
      <c r="D49" t="s">
        <v>324</v>
      </c>
      <c r="E49" t="s">
        <v>802</v>
      </c>
      <c r="F49" t="s">
        <v>233</v>
      </c>
      <c r="G49" t="s">
        <v>803</v>
      </c>
    </row>
    <row r="50" spans="2:7" x14ac:dyDescent="0.2">
      <c r="B50" t="s">
        <v>804</v>
      </c>
      <c r="C50" t="s">
        <v>223</v>
      </c>
      <c r="D50" t="s">
        <v>329</v>
      </c>
      <c r="E50" t="s">
        <v>805</v>
      </c>
      <c r="F50" t="s">
        <v>221</v>
      </c>
    </row>
    <row r="51" spans="2:7" x14ac:dyDescent="0.2">
      <c r="B51" t="s">
        <v>806</v>
      </c>
      <c r="C51" t="s">
        <v>217</v>
      </c>
      <c r="D51" t="s">
        <v>335</v>
      </c>
      <c r="E51" t="s">
        <v>219</v>
      </c>
      <c r="F51" t="s">
        <v>218</v>
      </c>
    </row>
    <row r="52" spans="2:7" x14ac:dyDescent="0.2">
      <c r="B52" t="s">
        <v>806</v>
      </c>
      <c r="C52" t="s">
        <v>217</v>
      </c>
      <c r="D52" t="s">
        <v>334</v>
      </c>
      <c r="E52" t="s">
        <v>807</v>
      </c>
      <c r="F52">
        <v>114</v>
      </c>
    </row>
    <row r="53" spans="2:7" x14ac:dyDescent="0.2">
      <c r="B53" t="s">
        <v>806</v>
      </c>
      <c r="C53" t="s">
        <v>217</v>
      </c>
      <c r="D53" t="s">
        <v>334</v>
      </c>
      <c r="E53" t="s">
        <v>808</v>
      </c>
      <c r="F53" t="s">
        <v>215</v>
      </c>
    </row>
    <row r="54" spans="2:7" x14ac:dyDescent="0.2">
      <c r="B54" t="s">
        <v>809</v>
      </c>
      <c r="C54" t="s">
        <v>197</v>
      </c>
      <c r="D54" t="s">
        <v>335</v>
      </c>
      <c r="E54" t="s">
        <v>199</v>
      </c>
      <c r="F54" t="s">
        <v>198</v>
      </c>
    </row>
    <row r="55" spans="2:7" x14ac:dyDescent="0.2">
      <c r="B55" t="s">
        <v>809</v>
      </c>
      <c r="C55" t="s">
        <v>197</v>
      </c>
      <c r="D55" t="s">
        <v>335</v>
      </c>
      <c r="E55" t="s">
        <v>810</v>
      </c>
      <c r="F55" t="s">
        <v>195</v>
      </c>
    </row>
    <row r="56" spans="2:7" x14ac:dyDescent="0.2">
      <c r="B56" t="s">
        <v>811</v>
      </c>
      <c r="C56" t="s">
        <v>202</v>
      </c>
      <c r="D56" t="s">
        <v>335</v>
      </c>
      <c r="E56" t="s">
        <v>812</v>
      </c>
      <c r="F56" t="s">
        <v>211</v>
      </c>
    </row>
    <row r="57" spans="2:7" x14ac:dyDescent="0.2">
      <c r="B57" t="s">
        <v>811</v>
      </c>
      <c r="C57" t="s">
        <v>202</v>
      </c>
      <c r="D57" t="s">
        <v>335</v>
      </c>
      <c r="E57" t="s">
        <v>813</v>
      </c>
      <c r="F57" t="s">
        <v>209</v>
      </c>
    </row>
    <row r="58" spans="2:7" x14ac:dyDescent="0.2">
      <c r="B58" t="s">
        <v>811</v>
      </c>
      <c r="C58" t="s">
        <v>202</v>
      </c>
      <c r="D58" t="s">
        <v>335</v>
      </c>
      <c r="E58" t="s">
        <v>814</v>
      </c>
      <c r="F58" t="s">
        <v>207</v>
      </c>
    </row>
    <row r="59" spans="2:7" x14ac:dyDescent="0.2">
      <c r="B59" t="s">
        <v>811</v>
      </c>
      <c r="C59" t="s">
        <v>202</v>
      </c>
      <c r="D59" t="s">
        <v>335</v>
      </c>
      <c r="E59" t="s">
        <v>815</v>
      </c>
      <c r="F59" t="s">
        <v>205</v>
      </c>
    </row>
    <row r="60" spans="2:7" x14ac:dyDescent="0.2">
      <c r="B60" t="s">
        <v>811</v>
      </c>
      <c r="C60" t="s">
        <v>202</v>
      </c>
      <c r="D60" t="s">
        <v>335</v>
      </c>
      <c r="E60" t="s">
        <v>816</v>
      </c>
      <c r="F60" t="s">
        <v>200</v>
      </c>
    </row>
    <row r="61" spans="2:7" x14ac:dyDescent="0.2">
      <c r="B61" t="s">
        <v>811</v>
      </c>
      <c r="C61" t="s">
        <v>202</v>
      </c>
      <c r="D61" t="s">
        <v>336</v>
      </c>
      <c r="E61" t="s">
        <v>817</v>
      </c>
      <c r="F61">
        <v>415</v>
      </c>
    </row>
    <row r="62" spans="2:7" x14ac:dyDescent="0.2">
      <c r="B62" t="s">
        <v>811</v>
      </c>
      <c r="C62" t="s">
        <v>202</v>
      </c>
      <c r="D62" t="s">
        <v>337</v>
      </c>
      <c r="E62" t="s">
        <v>818</v>
      </c>
      <c r="F62">
        <v>228</v>
      </c>
    </row>
    <row r="63" spans="2:7" x14ac:dyDescent="0.2">
      <c r="B63" t="s">
        <v>811</v>
      </c>
      <c r="C63" t="s">
        <v>202</v>
      </c>
      <c r="D63" t="s">
        <v>337</v>
      </c>
      <c r="E63" t="s">
        <v>819</v>
      </c>
      <c r="F63" t="s">
        <v>203</v>
      </c>
    </row>
    <row r="64" spans="2:7" x14ac:dyDescent="0.2">
      <c r="B64" t="s">
        <v>820</v>
      </c>
      <c r="C64" t="s">
        <v>194</v>
      </c>
      <c r="D64" t="s">
        <v>329</v>
      </c>
      <c r="E64" t="s">
        <v>796</v>
      </c>
      <c r="F64" t="s">
        <v>193</v>
      </c>
    </row>
    <row r="65" spans="2:7" x14ac:dyDescent="0.2">
      <c r="B65" t="s">
        <v>821</v>
      </c>
      <c r="C65" t="s">
        <v>175</v>
      </c>
      <c r="D65" t="s">
        <v>340</v>
      </c>
      <c r="E65" t="s">
        <v>822</v>
      </c>
      <c r="F65" t="s">
        <v>178</v>
      </c>
    </row>
    <row r="66" spans="2:7" x14ac:dyDescent="0.2">
      <c r="B66" t="s">
        <v>821</v>
      </c>
      <c r="C66" t="s">
        <v>175</v>
      </c>
      <c r="D66" t="s">
        <v>340</v>
      </c>
      <c r="E66" t="s">
        <v>177</v>
      </c>
      <c r="F66" t="s">
        <v>176</v>
      </c>
    </row>
    <row r="67" spans="2:7" x14ac:dyDescent="0.2">
      <c r="B67" t="s">
        <v>821</v>
      </c>
      <c r="C67" t="s">
        <v>175</v>
      </c>
      <c r="D67" t="s">
        <v>340</v>
      </c>
      <c r="E67" t="s">
        <v>823</v>
      </c>
      <c r="F67" t="s">
        <v>173</v>
      </c>
    </row>
    <row r="68" spans="2:7" x14ac:dyDescent="0.2">
      <c r="B68" t="s">
        <v>821</v>
      </c>
      <c r="C68" t="s">
        <v>175</v>
      </c>
      <c r="D68" t="s">
        <v>338</v>
      </c>
      <c r="E68" t="s">
        <v>824</v>
      </c>
      <c r="F68">
        <v>365</v>
      </c>
    </row>
    <row r="69" spans="2:7" x14ac:dyDescent="0.2">
      <c r="B69" t="s">
        <v>821</v>
      </c>
      <c r="C69" t="s">
        <v>175</v>
      </c>
      <c r="D69" t="s">
        <v>338</v>
      </c>
      <c r="E69" t="s">
        <v>825</v>
      </c>
      <c r="F69" t="s">
        <v>188</v>
      </c>
    </row>
    <row r="70" spans="2:7" x14ac:dyDescent="0.2">
      <c r="B70" t="s">
        <v>821</v>
      </c>
      <c r="C70" t="s">
        <v>175</v>
      </c>
      <c r="D70" t="s">
        <v>339</v>
      </c>
      <c r="E70" t="s">
        <v>826</v>
      </c>
      <c r="F70" t="s">
        <v>190</v>
      </c>
    </row>
    <row r="71" spans="2:7" x14ac:dyDescent="0.2">
      <c r="B71" t="s">
        <v>821</v>
      </c>
      <c r="C71" t="s">
        <v>175</v>
      </c>
      <c r="D71" t="s">
        <v>339</v>
      </c>
      <c r="E71" t="s">
        <v>827</v>
      </c>
      <c r="F71" t="s">
        <v>186</v>
      </c>
    </row>
    <row r="72" spans="2:7" x14ac:dyDescent="0.2">
      <c r="B72" t="s">
        <v>821</v>
      </c>
      <c r="C72" t="s">
        <v>175</v>
      </c>
      <c r="D72" t="s">
        <v>339</v>
      </c>
      <c r="E72" t="s">
        <v>828</v>
      </c>
      <c r="F72" t="s">
        <v>184</v>
      </c>
    </row>
    <row r="73" spans="2:7" x14ac:dyDescent="0.2">
      <c r="B73" t="s">
        <v>821</v>
      </c>
      <c r="C73" t="s">
        <v>175</v>
      </c>
      <c r="D73" t="s">
        <v>339</v>
      </c>
      <c r="E73" t="s">
        <v>829</v>
      </c>
      <c r="F73" t="s">
        <v>182</v>
      </c>
    </row>
    <row r="74" spans="2:7" x14ac:dyDescent="0.2">
      <c r="B74" t="s">
        <v>821</v>
      </c>
      <c r="C74" t="s">
        <v>175</v>
      </c>
      <c r="D74" t="s">
        <v>339</v>
      </c>
      <c r="E74" t="s">
        <v>830</v>
      </c>
      <c r="F74" t="s">
        <v>180</v>
      </c>
    </row>
    <row r="75" spans="2:7" x14ac:dyDescent="0.2">
      <c r="B75" t="s">
        <v>831</v>
      </c>
      <c r="C75" t="s">
        <v>105</v>
      </c>
      <c r="D75" t="s">
        <v>324</v>
      </c>
      <c r="E75" t="s">
        <v>832</v>
      </c>
      <c r="F75" t="s">
        <v>132</v>
      </c>
      <c r="G75" t="s">
        <v>133</v>
      </c>
    </row>
    <row r="76" spans="2:7" x14ac:dyDescent="0.2">
      <c r="B76" t="s">
        <v>831</v>
      </c>
      <c r="C76" t="s">
        <v>105</v>
      </c>
      <c r="D76" t="s">
        <v>324</v>
      </c>
      <c r="E76" t="s">
        <v>833</v>
      </c>
      <c r="F76" t="s">
        <v>130</v>
      </c>
      <c r="G76" t="s">
        <v>131</v>
      </c>
    </row>
    <row r="77" spans="2:7" x14ac:dyDescent="0.2">
      <c r="B77" t="s">
        <v>831</v>
      </c>
      <c r="C77" t="s">
        <v>105</v>
      </c>
      <c r="D77" t="s">
        <v>324</v>
      </c>
      <c r="E77" t="s">
        <v>834</v>
      </c>
      <c r="F77" t="s">
        <v>128</v>
      </c>
      <c r="G77" t="s">
        <v>835</v>
      </c>
    </row>
    <row r="78" spans="2:7" x14ac:dyDescent="0.2">
      <c r="B78" t="s">
        <v>831</v>
      </c>
      <c r="C78" t="s">
        <v>105</v>
      </c>
      <c r="D78" t="s">
        <v>324</v>
      </c>
      <c r="E78" t="s">
        <v>836</v>
      </c>
      <c r="F78" t="s">
        <v>126</v>
      </c>
      <c r="G78" t="s">
        <v>127</v>
      </c>
    </row>
    <row r="79" spans="2:7" x14ac:dyDescent="0.2">
      <c r="B79" t="s">
        <v>831</v>
      </c>
      <c r="C79" t="s">
        <v>105</v>
      </c>
      <c r="D79" t="s">
        <v>324</v>
      </c>
      <c r="E79" t="s">
        <v>837</v>
      </c>
      <c r="F79" t="s">
        <v>124</v>
      </c>
      <c r="G79" t="s">
        <v>838</v>
      </c>
    </row>
    <row r="80" spans="2:7" x14ac:dyDescent="0.2">
      <c r="B80" t="s">
        <v>831</v>
      </c>
      <c r="C80" t="s">
        <v>105</v>
      </c>
      <c r="D80" t="s">
        <v>324</v>
      </c>
      <c r="E80" t="s">
        <v>839</v>
      </c>
      <c r="F80" t="s">
        <v>122</v>
      </c>
      <c r="G80" t="s">
        <v>840</v>
      </c>
    </row>
    <row r="81" spans="2:7" x14ac:dyDescent="0.2">
      <c r="B81" t="s">
        <v>831</v>
      </c>
      <c r="C81" t="s">
        <v>105</v>
      </c>
      <c r="D81" t="s">
        <v>324</v>
      </c>
      <c r="E81" t="s">
        <v>841</v>
      </c>
      <c r="F81" t="s">
        <v>120</v>
      </c>
      <c r="G81" t="s">
        <v>121</v>
      </c>
    </row>
    <row r="82" spans="2:7" x14ac:dyDescent="0.2">
      <c r="B82" t="s">
        <v>831</v>
      </c>
      <c r="C82" t="s">
        <v>105</v>
      </c>
      <c r="D82" t="s">
        <v>324</v>
      </c>
      <c r="E82" t="s">
        <v>842</v>
      </c>
      <c r="F82" t="s">
        <v>118</v>
      </c>
      <c r="G82" t="s">
        <v>843</v>
      </c>
    </row>
    <row r="83" spans="2:7" x14ac:dyDescent="0.2">
      <c r="B83" t="s">
        <v>831</v>
      </c>
      <c r="C83" t="s">
        <v>105</v>
      </c>
      <c r="D83" t="s">
        <v>324</v>
      </c>
      <c r="E83" t="s">
        <v>844</v>
      </c>
      <c r="F83" t="s">
        <v>116</v>
      </c>
      <c r="G83" t="s">
        <v>845</v>
      </c>
    </row>
    <row r="84" spans="2:7" x14ac:dyDescent="0.2">
      <c r="B84" t="s">
        <v>831</v>
      </c>
      <c r="C84" t="s">
        <v>105</v>
      </c>
      <c r="D84" t="s">
        <v>324</v>
      </c>
      <c r="E84" t="s">
        <v>846</v>
      </c>
      <c r="F84" t="s">
        <v>114</v>
      </c>
      <c r="G84" t="s">
        <v>847</v>
      </c>
    </row>
    <row r="85" spans="2:7" x14ac:dyDescent="0.2">
      <c r="B85" t="s">
        <v>831</v>
      </c>
      <c r="C85" t="s">
        <v>105</v>
      </c>
      <c r="D85" t="s">
        <v>324</v>
      </c>
      <c r="E85" t="s">
        <v>848</v>
      </c>
      <c r="F85" t="s">
        <v>112</v>
      </c>
      <c r="G85" t="s">
        <v>849</v>
      </c>
    </row>
    <row r="86" spans="2:7" x14ac:dyDescent="0.2">
      <c r="B86" t="s">
        <v>831</v>
      </c>
      <c r="C86" t="s">
        <v>105</v>
      </c>
      <c r="D86" t="s">
        <v>324</v>
      </c>
      <c r="E86" t="s">
        <v>850</v>
      </c>
      <c r="F86" t="s">
        <v>110</v>
      </c>
      <c r="G86" t="s">
        <v>851</v>
      </c>
    </row>
    <row r="87" spans="2:7" x14ac:dyDescent="0.2">
      <c r="B87" t="s">
        <v>831</v>
      </c>
      <c r="C87" t="s">
        <v>105</v>
      </c>
      <c r="D87" t="s">
        <v>324</v>
      </c>
      <c r="E87" t="s">
        <v>852</v>
      </c>
      <c r="F87" t="s">
        <v>108</v>
      </c>
      <c r="G87" t="s">
        <v>853</v>
      </c>
    </row>
    <row r="88" spans="2:7" x14ac:dyDescent="0.2">
      <c r="B88" t="s">
        <v>831</v>
      </c>
      <c r="C88" t="s">
        <v>105</v>
      </c>
      <c r="D88" t="s">
        <v>324</v>
      </c>
      <c r="E88" t="s">
        <v>854</v>
      </c>
      <c r="F88" t="s">
        <v>106</v>
      </c>
      <c r="G88" t="s">
        <v>855</v>
      </c>
    </row>
    <row r="89" spans="2:7" x14ac:dyDescent="0.2">
      <c r="B89" t="s">
        <v>831</v>
      </c>
      <c r="C89" t="s">
        <v>105</v>
      </c>
      <c r="D89" t="s">
        <v>324</v>
      </c>
      <c r="E89" t="s">
        <v>856</v>
      </c>
      <c r="F89" t="s">
        <v>103</v>
      </c>
      <c r="G89" t="s">
        <v>857</v>
      </c>
    </row>
    <row r="90" spans="2:7" x14ac:dyDescent="0.2">
      <c r="B90" t="s">
        <v>858</v>
      </c>
      <c r="C90" t="s">
        <v>21</v>
      </c>
      <c r="D90" t="s">
        <v>329</v>
      </c>
      <c r="E90" t="s">
        <v>796</v>
      </c>
      <c r="F90" t="s">
        <v>19</v>
      </c>
    </row>
    <row r="91" spans="2:7" x14ac:dyDescent="0.2">
      <c r="B91" t="s">
        <v>859</v>
      </c>
      <c r="C91" t="s">
        <v>24</v>
      </c>
      <c r="D91" t="s">
        <v>326</v>
      </c>
      <c r="E91" t="s">
        <v>860</v>
      </c>
      <c r="F91" t="s">
        <v>677</v>
      </c>
      <c r="G91" t="s">
        <v>678</v>
      </c>
    </row>
    <row r="92" spans="2:7" x14ac:dyDescent="0.2">
      <c r="B92" t="s">
        <v>859</v>
      </c>
      <c r="C92" t="s">
        <v>24</v>
      </c>
      <c r="D92" t="s">
        <v>345</v>
      </c>
      <c r="E92" t="s">
        <v>861</v>
      </c>
      <c r="F92" t="s">
        <v>88</v>
      </c>
    </row>
    <row r="93" spans="2:7" x14ac:dyDescent="0.2">
      <c r="B93" t="s">
        <v>859</v>
      </c>
      <c r="C93" t="s">
        <v>24</v>
      </c>
      <c r="D93" t="s">
        <v>345</v>
      </c>
      <c r="E93" t="s">
        <v>862</v>
      </c>
      <c r="F93" t="s">
        <v>86</v>
      </c>
    </row>
    <row r="94" spans="2:7" x14ac:dyDescent="0.2">
      <c r="B94" t="s">
        <v>859</v>
      </c>
      <c r="C94" t="s">
        <v>24</v>
      </c>
      <c r="D94" t="s">
        <v>345</v>
      </c>
      <c r="E94" t="s">
        <v>863</v>
      </c>
      <c r="F94" t="s">
        <v>73</v>
      </c>
    </row>
    <row r="95" spans="2:7" x14ac:dyDescent="0.2">
      <c r="B95" t="s">
        <v>859</v>
      </c>
      <c r="C95" t="s">
        <v>24</v>
      </c>
      <c r="D95" t="s">
        <v>345</v>
      </c>
      <c r="E95" t="s">
        <v>864</v>
      </c>
      <c r="F95" t="s">
        <v>71</v>
      </c>
    </row>
    <row r="96" spans="2:7" x14ac:dyDescent="0.2">
      <c r="B96" t="s">
        <v>859</v>
      </c>
      <c r="C96" t="s">
        <v>24</v>
      </c>
      <c r="D96" t="s">
        <v>345</v>
      </c>
      <c r="E96" t="s">
        <v>865</v>
      </c>
      <c r="F96" t="s">
        <v>69</v>
      </c>
      <c r="G96" t="s">
        <v>866</v>
      </c>
    </row>
    <row r="97" spans="2:7" x14ac:dyDescent="0.2">
      <c r="B97" t="s">
        <v>859</v>
      </c>
      <c r="C97" t="s">
        <v>24</v>
      </c>
      <c r="D97" t="s">
        <v>345</v>
      </c>
      <c r="E97" t="s">
        <v>867</v>
      </c>
      <c r="F97" t="s">
        <v>67</v>
      </c>
    </row>
    <row r="98" spans="2:7" x14ac:dyDescent="0.2">
      <c r="B98" t="s">
        <v>859</v>
      </c>
      <c r="C98" t="s">
        <v>24</v>
      </c>
      <c r="D98" t="s">
        <v>330</v>
      </c>
      <c r="E98" t="s">
        <v>868</v>
      </c>
      <c r="F98" t="s">
        <v>100</v>
      </c>
    </row>
    <row r="99" spans="2:7" x14ac:dyDescent="0.2">
      <c r="B99" t="s">
        <v>859</v>
      </c>
      <c r="C99" t="s">
        <v>24</v>
      </c>
      <c r="D99" t="s">
        <v>346</v>
      </c>
      <c r="E99" t="s">
        <v>869</v>
      </c>
      <c r="F99" t="s">
        <v>63</v>
      </c>
      <c r="G99" t="s">
        <v>870</v>
      </c>
    </row>
    <row r="100" spans="2:7" x14ac:dyDescent="0.2">
      <c r="B100" t="s">
        <v>859</v>
      </c>
      <c r="C100" t="s">
        <v>24</v>
      </c>
      <c r="D100" t="s">
        <v>346</v>
      </c>
      <c r="E100" t="s">
        <v>871</v>
      </c>
      <c r="F100" t="s">
        <v>61</v>
      </c>
      <c r="G100" t="s">
        <v>872</v>
      </c>
    </row>
    <row r="101" spans="2:7" x14ac:dyDescent="0.2">
      <c r="B101" t="s">
        <v>859</v>
      </c>
      <c r="C101" t="s">
        <v>24</v>
      </c>
      <c r="D101" t="s">
        <v>346</v>
      </c>
      <c r="E101" t="s">
        <v>873</v>
      </c>
      <c r="F101" t="s">
        <v>59</v>
      </c>
      <c r="G101" t="s">
        <v>874</v>
      </c>
    </row>
    <row r="102" spans="2:7" x14ac:dyDescent="0.2">
      <c r="B102" t="s">
        <v>859</v>
      </c>
      <c r="C102" t="s">
        <v>24</v>
      </c>
      <c r="D102" t="s">
        <v>346</v>
      </c>
      <c r="E102" t="s">
        <v>875</v>
      </c>
      <c r="F102" t="s">
        <v>57</v>
      </c>
    </row>
    <row r="103" spans="2:7" x14ac:dyDescent="0.2">
      <c r="B103" t="s">
        <v>859</v>
      </c>
      <c r="C103" t="s">
        <v>24</v>
      </c>
      <c r="D103" t="s">
        <v>331</v>
      </c>
      <c r="E103" t="s">
        <v>795</v>
      </c>
      <c r="F103">
        <v>387</v>
      </c>
    </row>
    <row r="104" spans="2:7" x14ac:dyDescent="0.2">
      <c r="B104" t="s">
        <v>859</v>
      </c>
      <c r="C104" t="s">
        <v>24</v>
      </c>
      <c r="D104" t="s">
        <v>331</v>
      </c>
      <c r="E104" t="s">
        <v>794</v>
      </c>
      <c r="F104" t="s">
        <v>98</v>
      </c>
    </row>
    <row r="105" spans="2:7" x14ac:dyDescent="0.2">
      <c r="B105" t="s">
        <v>859</v>
      </c>
      <c r="C105" t="s">
        <v>24</v>
      </c>
      <c r="D105" t="s">
        <v>331</v>
      </c>
      <c r="E105" t="s">
        <v>876</v>
      </c>
      <c r="F105" t="s">
        <v>96</v>
      </c>
    </row>
    <row r="106" spans="2:7" x14ac:dyDescent="0.2">
      <c r="B106" t="s">
        <v>859</v>
      </c>
      <c r="C106" t="s">
        <v>24</v>
      </c>
      <c r="D106" t="s">
        <v>331</v>
      </c>
      <c r="E106" t="s">
        <v>877</v>
      </c>
      <c r="F106" t="s">
        <v>92</v>
      </c>
      <c r="G106" t="s">
        <v>866</v>
      </c>
    </row>
    <row r="107" spans="2:7" x14ac:dyDescent="0.2">
      <c r="B107" t="s">
        <v>859</v>
      </c>
      <c r="C107" t="s">
        <v>24</v>
      </c>
      <c r="D107" t="s">
        <v>331</v>
      </c>
      <c r="E107" t="s">
        <v>878</v>
      </c>
      <c r="F107" t="s">
        <v>81</v>
      </c>
    </row>
    <row r="108" spans="2:7" x14ac:dyDescent="0.2">
      <c r="B108" t="s">
        <v>859</v>
      </c>
      <c r="C108" t="s">
        <v>24</v>
      </c>
      <c r="D108" t="s">
        <v>331</v>
      </c>
      <c r="E108" t="s">
        <v>879</v>
      </c>
      <c r="F108" t="s">
        <v>79</v>
      </c>
    </row>
    <row r="109" spans="2:7" x14ac:dyDescent="0.2">
      <c r="B109" t="s">
        <v>859</v>
      </c>
      <c r="C109" t="s">
        <v>24</v>
      </c>
      <c r="D109" t="s">
        <v>331</v>
      </c>
      <c r="E109" t="s">
        <v>880</v>
      </c>
      <c r="F109" t="s">
        <v>77</v>
      </c>
    </row>
    <row r="110" spans="2:7" x14ac:dyDescent="0.2">
      <c r="B110" t="s">
        <v>859</v>
      </c>
      <c r="C110" t="s">
        <v>24</v>
      </c>
      <c r="D110" t="s">
        <v>331</v>
      </c>
      <c r="E110" t="s">
        <v>881</v>
      </c>
      <c r="F110" t="s">
        <v>65</v>
      </c>
      <c r="G110" t="s">
        <v>66</v>
      </c>
    </row>
    <row r="111" spans="2:7" x14ac:dyDescent="0.2">
      <c r="B111" t="s">
        <v>859</v>
      </c>
      <c r="C111" t="s">
        <v>24</v>
      </c>
      <c r="D111" t="s">
        <v>331</v>
      </c>
      <c r="E111" t="s">
        <v>882</v>
      </c>
      <c r="F111" t="s">
        <v>55</v>
      </c>
    </row>
    <row r="112" spans="2:7" x14ac:dyDescent="0.2">
      <c r="B112" t="s">
        <v>859</v>
      </c>
      <c r="C112" t="s">
        <v>24</v>
      </c>
      <c r="D112" t="s">
        <v>329</v>
      </c>
      <c r="E112" t="s">
        <v>797</v>
      </c>
      <c r="F112" t="s">
        <v>94</v>
      </c>
    </row>
    <row r="113" spans="2:7" x14ac:dyDescent="0.2">
      <c r="B113" t="s">
        <v>859</v>
      </c>
      <c r="C113" t="s">
        <v>24</v>
      </c>
      <c r="D113" t="s">
        <v>329</v>
      </c>
      <c r="E113" t="s">
        <v>883</v>
      </c>
      <c r="F113" t="s">
        <v>90</v>
      </c>
    </row>
    <row r="114" spans="2:7" x14ac:dyDescent="0.2">
      <c r="B114" t="s">
        <v>859</v>
      </c>
      <c r="C114" t="s">
        <v>24</v>
      </c>
      <c r="D114" t="s">
        <v>329</v>
      </c>
      <c r="E114" t="s">
        <v>884</v>
      </c>
      <c r="F114" t="s">
        <v>84</v>
      </c>
    </row>
    <row r="115" spans="2:7" x14ac:dyDescent="0.2">
      <c r="B115" t="s">
        <v>859</v>
      </c>
      <c r="C115" t="s">
        <v>24</v>
      </c>
      <c r="D115" t="s">
        <v>329</v>
      </c>
      <c r="E115" t="s">
        <v>885</v>
      </c>
      <c r="F115" t="s">
        <v>75</v>
      </c>
    </row>
    <row r="116" spans="2:7" x14ac:dyDescent="0.2">
      <c r="B116" t="s">
        <v>859</v>
      </c>
      <c r="C116" t="s">
        <v>24</v>
      </c>
      <c r="D116" t="s">
        <v>347</v>
      </c>
      <c r="E116" t="s">
        <v>886</v>
      </c>
      <c r="F116" t="s">
        <v>53</v>
      </c>
    </row>
    <row r="117" spans="2:7" x14ac:dyDescent="0.2">
      <c r="B117" t="s">
        <v>859</v>
      </c>
      <c r="C117" t="s">
        <v>24</v>
      </c>
      <c r="D117" t="s">
        <v>348</v>
      </c>
      <c r="E117" t="s">
        <v>887</v>
      </c>
      <c r="F117" t="s">
        <v>49</v>
      </c>
      <c r="G117" t="s">
        <v>888</v>
      </c>
    </row>
    <row r="118" spans="2:7" x14ac:dyDescent="0.2">
      <c r="B118" t="s">
        <v>859</v>
      </c>
      <c r="C118" t="s">
        <v>24</v>
      </c>
      <c r="D118" t="s">
        <v>348</v>
      </c>
      <c r="E118" t="s">
        <v>889</v>
      </c>
      <c r="F118" t="s">
        <v>47</v>
      </c>
      <c r="G118" t="s">
        <v>48</v>
      </c>
    </row>
    <row r="119" spans="2:7" x14ac:dyDescent="0.2">
      <c r="B119" t="s">
        <v>859</v>
      </c>
      <c r="C119" t="s">
        <v>24</v>
      </c>
      <c r="D119" t="s">
        <v>348</v>
      </c>
      <c r="E119" t="s">
        <v>890</v>
      </c>
      <c r="F119" t="s">
        <v>28</v>
      </c>
      <c r="G119" t="s">
        <v>29</v>
      </c>
    </row>
    <row r="120" spans="2:7" x14ac:dyDescent="0.2">
      <c r="B120" t="s">
        <v>859</v>
      </c>
      <c r="C120" t="s">
        <v>24</v>
      </c>
      <c r="D120" t="s">
        <v>326</v>
      </c>
      <c r="E120" t="s">
        <v>891</v>
      </c>
      <c r="F120" t="s">
        <v>51</v>
      </c>
      <c r="G120" t="s">
        <v>52</v>
      </c>
    </row>
    <row r="121" spans="2:7" x14ac:dyDescent="0.2">
      <c r="B121" t="s">
        <v>859</v>
      </c>
      <c r="C121" t="s">
        <v>24</v>
      </c>
      <c r="D121" t="s">
        <v>326</v>
      </c>
      <c r="E121" t="s">
        <v>892</v>
      </c>
      <c r="F121" t="s">
        <v>45</v>
      </c>
      <c r="G121" t="s">
        <v>893</v>
      </c>
    </row>
    <row r="122" spans="2:7" x14ac:dyDescent="0.2">
      <c r="B122" t="s">
        <v>859</v>
      </c>
      <c r="C122" t="s">
        <v>24</v>
      </c>
      <c r="D122" t="s">
        <v>326</v>
      </c>
      <c r="E122" t="s">
        <v>894</v>
      </c>
      <c r="F122" t="s">
        <v>43</v>
      </c>
      <c r="G122" t="s">
        <v>895</v>
      </c>
    </row>
    <row r="123" spans="2:7" x14ac:dyDescent="0.2">
      <c r="B123" t="s">
        <v>859</v>
      </c>
      <c r="C123" t="s">
        <v>24</v>
      </c>
      <c r="D123" t="s">
        <v>326</v>
      </c>
      <c r="E123" t="s">
        <v>896</v>
      </c>
      <c r="F123" t="s">
        <v>41</v>
      </c>
      <c r="G123" t="s">
        <v>42</v>
      </c>
    </row>
    <row r="124" spans="2:7" x14ac:dyDescent="0.2">
      <c r="B124" t="s">
        <v>859</v>
      </c>
      <c r="C124" t="s">
        <v>24</v>
      </c>
      <c r="D124" t="s">
        <v>326</v>
      </c>
      <c r="E124" t="s">
        <v>897</v>
      </c>
      <c r="F124" t="s">
        <v>39</v>
      </c>
      <c r="G124" t="s">
        <v>898</v>
      </c>
    </row>
    <row r="125" spans="2:7" x14ac:dyDescent="0.2">
      <c r="B125" t="s">
        <v>859</v>
      </c>
      <c r="C125" t="s">
        <v>24</v>
      </c>
      <c r="D125" t="s">
        <v>326</v>
      </c>
      <c r="E125" t="s">
        <v>899</v>
      </c>
      <c r="F125" t="s">
        <v>37</v>
      </c>
    </row>
    <row r="126" spans="2:7" x14ac:dyDescent="0.2">
      <c r="B126" t="s">
        <v>859</v>
      </c>
      <c r="C126" t="s">
        <v>24</v>
      </c>
      <c r="D126" t="s">
        <v>326</v>
      </c>
      <c r="E126" t="s">
        <v>900</v>
      </c>
      <c r="F126" t="s">
        <v>35</v>
      </c>
    </row>
    <row r="127" spans="2:7" x14ac:dyDescent="0.2">
      <c r="B127" t="s">
        <v>859</v>
      </c>
      <c r="C127" t="s">
        <v>24</v>
      </c>
      <c r="D127" t="s">
        <v>326</v>
      </c>
      <c r="E127" t="s">
        <v>901</v>
      </c>
      <c r="F127" t="s">
        <v>34</v>
      </c>
      <c r="G127" t="s">
        <v>902</v>
      </c>
    </row>
    <row r="128" spans="2:7" x14ac:dyDescent="0.2">
      <c r="B128" t="s">
        <v>859</v>
      </c>
      <c r="C128" t="s">
        <v>24</v>
      </c>
      <c r="D128" t="s">
        <v>326</v>
      </c>
      <c r="E128" t="s">
        <v>903</v>
      </c>
      <c r="F128" t="s">
        <v>32</v>
      </c>
      <c r="G128" t="s">
        <v>904</v>
      </c>
    </row>
    <row r="129" spans="2:7" x14ac:dyDescent="0.2">
      <c r="B129" t="s">
        <v>859</v>
      </c>
      <c r="C129" t="s">
        <v>24</v>
      </c>
      <c r="D129" t="s">
        <v>326</v>
      </c>
      <c r="E129" t="s">
        <v>905</v>
      </c>
      <c r="F129" t="s">
        <v>30</v>
      </c>
      <c r="G129" t="s">
        <v>31</v>
      </c>
    </row>
    <row r="130" spans="2:7" x14ac:dyDescent="0.2">
      <c r="B130" t="s">
        <v>859</v>
      </c>
      <c r="C130" t="s">
        <v>24</v>
      </c>
      <c r="D130" t="s">
        <v>326</v>
      </c>
      <c r="E130" t="s">
        <v>356</v>
      </c>
      <c r="F130" t="s">
        <v>355</v>
      </c>
    </row>
    <row r="131" spans="2:7" x14ac:dyDescent="0.2">
      <c r="B131" t="s">
        <v>859</v>
      </c>
      <c r="C131" t="s">
        <v>24</v>
      </c>
      <c r="D131" t="s">
        <v>326</v>
      </c>
      <c r="E131" t="s">
        <v>906</v>
      </c>
      <c r="F131" t="s">
        <v>22</v>
      </c>
      <c r="G131" t="s">
        <v>907</v>
      </c>
    </row>
    <row r="132" spans="2:7" x14ac:dyDescent="0.2">
      <c r="B132" t="s">
        <v>859</v>
      </c>
      <c r="C132" t="s">
        <v>24</v>
      </c>
      <c r="D132" t="s">
        <v>327</v>
      </c>
      <c r="E132" t="s">
        <v>908</v>
      </c>
      <c r="F132" t="s">
        <v>26</v>
      </c>
      <c r="G132" t="s">
        <v>840</v>
      </c>
    </row>
    <row r="133" spans="2:7" x14ac:dyDescent="0.2">
      <c r="B133" t="s">
        <v>909</v>
      </c>
      <c r="C133" t="s">
        <v>136</v>
      </c>
      <c r="D133" t="s">
        <v>341</v>
      </c>
      <c r="E133" t="s">
        <v>910</v>
      </c>
      <c r="F133" t="s">
        <v>171</v>
      </c>
    </row>
    <row r="134" spans="2:7" x14ac:dyDescent="0.2">
      <c r="B134" t="s">
        <v>909</v>
      </c>
      <c r="C134" t="s">
        <v>136</v>
      </c>
      <c r="D134" t="s">
        <v>341</v>
      </c>
      <c r="E134" t="s">
        <v>911</v>
      </c>
      <c r="F134" t="s">
        <v>169</v>
      </c>
    </row>
    <row r="135" spans="2:7" x14ac:dyDescent="0.2">
      <c r="B135" t="s">
        <v>909</v>
      </c>
      <c r="C135" t="s">
        <v>136</v>
      </c>
      <c r="D135" t="s">
        <v>341</v>
      </c>
      <c r="E135" t="s">
        <v>912</v>
      </c>
      <c r="F135" t="s">
        <v>167</v>
      </c>
    </row>
    <row r="136" spans="2:7" x14ac:dyDescent="0.2">
      <c r="B136" t="s">
        <v>909</v>
      </c>
      <c r="C136" t="s">
        <v>136</v>
      </c>
      <c r="D136" t="s">
        <v>343</v>
      </c>
      <c r="E136" t="s">
        <v>913</v>
      </c>
      <c r="F136" t="s">
        <v>155</v>
      </c>
    </row>
    <row r="137" spans="2:7" x14ac:dyDescent="0.2">
      <c r="B137" t="s">
        <v>909</v>
      </c>
      <c r="C137" t="s">
        <v>136</v>
      </c>
      <c r="D137" t="s">
        <v>343</v>
      </c>
      <c r="E137" t="s">
        <v>914</v>
      </c>
      <c r="F137" t="s">
        <v>153</v>
      </c>
    </row>
    <row r="138" spans="2:7" x14ac:dyDescent="0.2">
      <c r="B138" t="s">
        <v>909</v>
      </c>
      <c r="C138" t="s">
        <v>136</v>
      </c>
      <c r="D138" t="s">
        <v>343</v>
      </c>
      <c r="E138" t="s">
        <v>915</v>
      </c>
      <c r="F138" t="s">
        <v>151</v>
      </c>
    </row>
    <row r="139" spans="2:7" x14ac:dyDescent="0.2">
      <c r="B139" t="s">
        <v>909</v>
      </c>
      <c r="C139" t="s">
        <v>136</v>
      </c>
      <c r="D139" t="s">
        <v>343</v>
      </c>
      <c r="E139" t="s">
        <v>916</v>
      </c>
      <c r="F139" t="s">
        <v>149</v>
      </c>
    </row>
    <row r="140" spans="2:7" x14ac:dyDescent="0.2">
      <c r="B140" t="s">
        <v>909</v>
      </c>
      <c r="C140" t="s">
        <v>136</v>
      </c>
      <c r="D140" t="s">
        <v>328</v>
      </c>
      <c r="E140" t="s">
        <v>917</v>
      </c>
      <c r="F140" t="s">
        <v>145</v>
      </c>
    </row>
    <row r="141" spans="2:7" x14ac:dyDescent="0.2">
      <c r="B141" t="s">
        <v>909</v>
      </c>
      <c r="C141" t="s">
        <v>136</v>
      </c>
      <c r="D141" t="s">
        <v>328</v>
      </c>
      <c r="E141" t="s">
        <v>918</v>
      </c>
      <c r="F141" t="s">
        <v>141</v>
      </c>
    </row>
    <row r="142" spans="2:7" x14ac:dyDescent="0.2">
      <c r="B142" t="s">
        <v>909</v>
      </c>
      <c r="C142" t="s">
        <v>136</v>
      </c>
      <c r="D142" t="s">
        <v>325</v>
      </c>
      <c r="E142" t="s">
        <v>919</v>
      </c>
      <c r="F142" t="s">
        <v>165</v>
      </c>
    </row>
    <row r="143" spans="2:7" x14ac:dyDescent="0.2">
      <c r="B143" t="s">
        <v>909</v>
      </c>
      <c r="C143" t="s">
        <v>136</v>
      </c>
      <c r="D143" t="s">
        <v>325</v>
      </c>
      <c r="E143" t="s">
        <v>920</v>
      </c>
      <c r="F143" t="s">
        <v>163</v>
      </c>
    </row>
    <row r="144" spans="2:7" x14ac:dyDescent="0.2">
      <c r="B144" t="s">
        <v>909</v>
      </c>
      <c r="C144" t="s">
        <v>136</v>
      </c>
      <c r="D144" t="s">
        <v>325</v>
      </c>
      <c r="E144" t="s">
        <v>921</v>
      </c>
      <c r="F144" t="s">
        <v>161</v>
      </c>
    </row>
    <row r="145" spans="2:7" x14ac:dyDescent="0.2">
      <c r="B145" t="s">
        <v>909</v>
      </c>
      <c r="C145" t="s">
        <v>136</v>
      </c>
      <c r="D145" t="s">
        <v>325</v>
      </c>
      <c r="E145" t="s">
        <v>922</v>
      </c>
      <c r="F145" t="s">
        <v>159</v>
      </c>
      <c r="G145" t="s">
        <v>923</v>
      </c>
    </row>
    <row r="146" spans="2:7" x14ac:dyDescent="0.2">
      <c r="B146" t="s">
        <v>909</v>
      </c>
      <c r="C146" t="s">
        <v>136</v>
      </c>
      <c r="D146" t="s">
        <v>325</v>
      </c>
      <c r="E146" t="s">
        <v>924</v>
      </c>
      <c r="F146" t="s">
        <v>147</v>
      </c>
    </row>
    <row r="147" spans="2:7" x14ac:dyDescent="0.2">
      <c r="B147" t="s">
        <v>909</v>
      </c>
      <c r="C147" t="s">
        <v>136</v>
      </c>
      <c r="D147" t="s">
        <v>325</v>
      </c>
      <c r="E147" t="s">
        <v>925</v>
      </c>
      <c r="F147" t="s">
        <v>143</v>
      </c>
    </row>
    <row r="148" spans="2:7" x14ac:dyDescent="0.2">
      <c r="B148" t="s">
        <v>909</v>
      </c>
      <c r="C148" t="s">
        <v>136</v>
      </c>
      <c r="D148" t="s">
        <v>325</v>
      </c>
      <c r="E148" t="s">
        <v>926</v>
      </c>
      <c r="F148" t="s">
        <v>137</v>
      </c>
    </row>
    <row r="149" spans="2:7" x14ac:dyDescent="0.2">
      <c r="B149" t="s">
        <v>909</v>
      </c>
      <c r="C149" t="s">
        <v>136</v>
      </c>
      <c r="D149" t="s">
        <v>325</v>
      </c>
      <c r="E149" t="s">
        <v>927</v>
      </c>
      <c r="F149" t="s">
        <v>134</v>
      </c>
    </row>
    <row r="150" spans="2:7" x14ac:dyDescent="0.2">
      <c r="B150" t="s">
        <v>909</v>
      </c>
      <c r="C150" t="s">
        <v>136</v>
      </c>
      <c r="D150" t="s">
        <v>344</v>
      </c>
      <c r="E150" t="s">
        <v>928</v>
      </c>
      <c r="F150" t="s">
        <v>139</v>
      </c>
      <c r="G150" t="s">
        <v>929</v>
      </c>
    </row>
    <row r="151" spans="2:7" x14ac:dyDescent="0.2">
      <c r="B151" t="s">
        <v>909</v>
      </c>
      <c r="C151" t="s">
        <v>136</v>
      </c>
      <c r="D151" t="s">
        <v>342</v>
      </c>
      <c r="E151" t="s">
        <v>930</v>
      </c>
      <c r="F151" t="s">
        <v>157</v>
      </c>
    </row>
    <row r="152" spans="2:7" x14ac:dyDescent="0.2">
      <c r="B152" t="s">
        <v>931</v>
      </c>
      <c r="C152" t="s">
        <v>18</v>
      </c>
      <c r="D152" t="s">
        <v>337</v>
      </c>
      <c r="E152" t="s">
        <v>932</v>
      </c>
      <c r="F152" t="s">
        <v>16</v>
      </c>
    </row>
    <row r="153" spans="2:7" x14ac:dyDescent="0.2">
      <c r="B153" t="s">
        <v>933</v>
      </c>
      <c r="C153" t="s">
        <v>15</v>
      </c>
      <c r="D153" t="s">
        <v>346</v>
      </c>
      <c r="E153" t="s">
        <v>934</v>
      </c>
      <c r="F153" t="s">
        <v>13</v>
      </c>
      <c r="G153" t="s">
        <v>935</v>
      </c>
    </row>
    <row r="154" spans="2:7" x14ac:dyDescent="0.2">
      <c r="B154" t="s">
        <v>10</v>
      </c>
      <c r="C154" t="s">
        <v>12</v>
      </c>
      <c r="D154" t="s">
        <v>10</v>
      </c>
      <c r="E154" t="s">
        <v>936</v>
      </c>
      <c r="F154" t="s">
        <v>10</v>
      </c>
      <c r="G154" t="s">
        <v>937</v>
      </c>
    </row>
    <row r="155" spans="2:7" x14ac:dyDescent="0.2">
      <c r="B155" t="s">
        <v>938</v>
      </c>
      <c r="C155" t="s">
        <v>7</v>
      </c>
      <c r="D155" t="s">
        <v>327</v>
      </c>
      <c r="E155" t="s">
        <v>939</v>
      </c>
      <c r="F155" t="s">
        <v>8</v>
      </c>
      <c r="G155" t="s">
        <v>940</v>
      </c>
    </row>
    <row r="156" spans="2:7" x14ac:dyDescent="0.2">
      <c r="B156" t="s">
        <v>938</v>
      </c>
      <c r="C156" t="s">
        <v>7</v>
      </c>
      <c r="D156" t="s">
        <v>327</v>
      </c>
      <c r="E156" t="s">
        <v>941</v>
      </c>
      <c r="F156" t="s">
        <v>5</v>
      </c>
      <c r="G156" t="s">
        <v>942</v>
      </c>
    </row>
    <row r="157" spans="2:7" x14ac:dyDescent="0.2">
      <c r="B157" t="s">
        <v>943</v>
      </c>
      <c r="C157" t="s">
        <v>2</v>
      </c>
      <c r="D157" t="s">
        <v>324</v>
      </c>
      <c r="E157" t="s">
        <v>4</v>
      </c>
      <c r="F157" t="s">
        <v>3</v>
      </c>
      <c r="G157" t="s">
        <v>944</v>
      </c>
    </row>
    <row r="158" spans="2:7" x14ac:dyDescent="0.2">
      <c r="B158" t="s">
        <v>943</v>
      </c>
      <c r="C158" t="s">
        <v>2</v>
      </c>
      <c r="D158" t="s">
        <v>324</v>
      </c>
      <c r="E158" t="s">
        <v>1</v>
      </c>
      <c r="F158" t="s">
        <v>0</v>
      </c>
      <c r="G158" t="s">
        <v>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BFC9-EA49-46F2-878F-92B2FD3465BA}">
  <sheetPr>
    <tabColor rgb="FFFFFF00"/>
  </sheetPr>
  <dimension ref="B3:AM122"/>
  <sheetViews>
    <sheetView workbookViewId="0">
      <selection activeCell="F19" sqref="F19"/>
    </sheetView>
  </sheetViews>
  <sheetFormatPr baseColWidth="10" defaultRowHeight="12.75" x14ac:dyDescent="0.2"/>
  <sheetData>
    <row r="3" spans="2:39" x14ac:dyDescent="0.2">
      <c r="B3" t="s">
        <v>949</v>
      </c>
      <c r="C3" t="s">
        <v>950</v>
      </c>
      <c r="D3" t="s">
        <v>729</v>
      </c>
      <c r="E3" t="s">
        <v>951</v>
      </c>
      <c r="F3" t="s">
        <v>952</v>
      </c>
      <c r="G3" t="s">
        <v>953</v>
      </c>
      <c r="H3" t="s">
        <v>954</v>
      </c>
      <c r="I3" t="s">
        <v>955</v>
      </c>
      <c r="J3" t="s">
        <v>956</v>
      </c>
      <c r="K3" t="s">
        <v>957</v>
      </c>
      <c r="L3" t="s">
        <v>958</v>
      </c>
      <c r="M3" t="s">
        <v>959</v>
      </c>
      <c r="N3" t="s">
        <v>960</v>
      </c>
      <c r="O3" t="s">
        <v>961</v>
      </c>
      <c r="P3" t="s">
        <v>962</v>
      </c>
      <c r="Q3" t="s">
        <v>963</v>
      </c>
      <c r="R3" t="s">
        <v>964</v>
      </c>
      <c r="S3" t="s">
        <v>965</v>
      </c>
      <c r="T3" t="s">
        <v>966</v>
      </c>
      <c r="U3" t="s">
        <v>967</v>
      </c>
      <c r="V3" t="s">
        <v>968</v>
      </c>
      <c r="W3" t="s">
        <v>969</v>
      </c>
      <c r="X3" t="s">
        <v>970</v>
      </c>
      <c r="Y3" t="s">
        <v>971</v>
      </c>
      <c r="Z3" t="s">
        <v>972</v>
      </c>
      <c r="AA3" t="s">
        <v>973</v>
      </c>
      <c r="AB3" t="s">
        <v>974</v>
      </c>
      <c r="AC3" t="s">
        <v>975</v>
      </c>
      <c r="AD3" t="s">
        <v>976</v>
      </c>
      <c r="AE3" t="s">
        <v>977</v>
      </c>
      <c r="AF3" t="s">
        <v>978</v>
      </c>
      <c r="AG3" t="s">
        <v>979</v>
      </c>
      <c r="AH3" t="s">
        <v>980</v>
      </c>
      <c r="AI3" t="s">
        <v>981</v>
      </c>
      <c r="AJ3" t="s">
        <v>982</v>
      </c>
      <c r="AK3" t="s">
        <v>983</v>
      </c>
      <c r="AL3" t="s">
        <v>984</v>
      </c>
      <c r="AM3" t="s">
        <v>985</v>
      </c>
    </row>
    <row r="4" spans="2:39" x14ac:dyDescent="0.2">
      <c r="B4">
        <v>10</v>
      </c>
      <c r="C4">
        <v>1</v>
      </c>
      <c r="D4" t="s">
        <v>301</v>
      </c>
      <c r="E4" t="s">
        <v>738</v>
      </c>
      <c r="F4" t="s">
        <v>299</v>
      </c>
      <c r="G4">
        <v>6</v>
      </c>
      <c r="H4">
        <v>203</v>
      </c>
      <c r="I4">
        <v>478</v>
      </c>
      <c r="J4" t="s">
        <v>986</v>
      </c>
      <c r="K4" t="s">
        <v>987</v>
      </c>
      <c r="L4" t="s">
        <v>988</v>
      </c>
      <c r="M4">
        <v>36</v>
      </c>
      <c r="N4">
        <v>0</v>
      </c>
      <c r="O4" s="11">
        <v>44366</v>
      </c>
      <c r="P4" t="s">
        <v>404</v>
      </c>
      <c r="Q4">
        <v>2200</v>
      </c>
      <c r="R4">
        <v>45</v>
      </c>
      <c r="S4">
        <v>9</v>
      </c>
      <c r="T4" t="s">
        <v>989</v>
      </c>
      <c r="U4">
        <v>2.0499999999999998</v>
      </c>
      <c r="V4">
        <v>0.4</v>
      </c>
      <c r="W4">
        <v>0</v>
      </c>
      <c r="X4">
        <v>0</v>
      </c>
      <c r="Y4">
        <v>0</v>
      </c>
      <c r="Z4">
        <v>2.4500000000000002</v>
      </c>
      <c r="AA4">
        <v>12</v>
      </c>
      <c r="AB4">
        <v>4.6100000000000003</v>
      </c>
      <c r="AC4">
        <v>12.82</v>
      </c>
      <c r="AD4">
        <v>31.4</v>
      </c>
      <c r="AE4">
        <v>5.13</v>
      </c>
      <c r="AI4">
        <v>0</v>
      </c>
      <c r="AJ4">
        <v>0</v>
      </c>
      <c r="AK4">
        <v>0</v>
      </c>
      <c r="AL4">
        <v>0</v>
      </c>
    </row>
    <row r="5" spans="2:39" x14ac:dyDescent="0.2">
      <c r="B5">
        <v>0</v>
      </c>
      <c r="C5">
        <v>1</v>
      </c>
      <c r="H5">
        <v>203</v>
      </c>
      <c r="I5">
        <v>479</v>
      </c>
      <c r="J5" t="s">
        <v>990</v>
      </c>
      <c r="K5" t="s">
        <v>991</v>
      </c>
      <c r="L5" t="s">
        <v>992</v>
      </c>
      <c r="O5" t="s">
        <v>399</v>
      </c>
      <c r="U5">
        <v>2.0499999999999998</v>
      </c>
      <c r="V5">
        <v>0.4</v>
      </c>
      <c r="W5">
        <v>0</v>
      </c>
      <c r="X5">
        <v>0</v>
      </c>
      <c r="Y5">
        <v>0</v>
      </c>
      <c r="Z5">
        <v>2.4500000000000002</v>
      </c>
      <c r="AA5">
        <v>4</v>
      </c>
      <c r="AB5">
        <v>1.54</v>
      </c>
      <c r="AC5">
        <v>4.2699999999999996</v>
      </c>
      <c r="AD5">
        <v>10.47</v>
      </c>
      <c r="AE5">
        <v>1.71</v>
      </c>
      <c r="AI5">
        <v>0</v>
      </c>
      <c r="AJ5">
        <v>0</v>
      </c>
      <c r="AK5">
        <v>0</v>
      </c>
      <c r="AL5">
        <v>0</v>
      </c>
    </row>
    <row r="6" spans="2:39" x14ac:dyDescent="0.2">
      <c r="B6">
        <v>0</v>
      </c>
      <c r="C6">
        <v>1</v>
      </c>
      <c r="H6">
        <v>203</v>
      </c>
      <c r="I6">
        <v>477</v>
      </c>
      <c r="J6" t="s">
        <v>993</v>
      </c>
      <c r="K6" t="s">
        <v>994</v>
      </c>
      <c r="L6" t="s">
        <v>995</v>
      </c>
      <c r="O6" t="s">
        <v>399</v>
      </c>
      <c r="U6">
        <v>2.0499999999999998</v>
      </c>
      <c r="V6">
        <v>0.4</v>
      </c>
      <c r="W6">
        <v>0</v>
      </c>
      <c r="X6">
        <v>0</v>
      </c>
      <c r="Y6">
        <v>0</v>
      </c>
      <c r="Z6">
        <v>2.4500000000000002</v>
      </c>
      <c r="AA6">
        <v>4</v>
      </c>
      <c r="AB6">
        <v>1.54</v>
      </c>
      <c r="AC6">
        <v>4.2699999999999996</v>
      </c>
      <c r="AD6">
        <v>10.47</v>
      </c>
      <c r="AE6">
        <v>1.71</v>
      </c>
      <c r="AI6">
        <v>0</v>
      </c>
      <c r="AJ6">
        <v>0</v>
      </c>
      <c r="AK6">
        <v>0</v>
      </c>
      <c r="AL6">
        <v>0</v>
      </c>
    </row>
    <row r="7" spans="2:39" x14ac:dyDescent="0.2">
      <c r="B7">
        <v>10</v>
      </c>
      <c r="C7">
        <v>2</v>
      </c>
      <c r="D7" t="s">
        <v>298</v>
      </c>
      <c r="E7" t="s">
        <v>324</v>
      </c>
      <c r="F7" t="s">
        <v>296</v>
      </c>
      <c r="G7">
        <v>6</v>
      </c>
      <c r="H7">
        <v>258</v>
      </c>
      <c r="I7">
        <v>609</v>
      </c>
      <c r="J7" t="s">
        <v>996</v>
      </c>
      <c r="K7" t="s">
        <v>997</v>
      </c>
      <c r="L7" t="s">
        <v>998</v>
      </c>
      <c r="M7">
        <v>30</v>
      </c>
      <c r="N7">
        <v>25</v>
      </c>
      <c r="O7" s="11">
        <v>44413</v>
      </c>
      <c r="P7" t="s">
        <v>404</v>
      </c>
      <c r="Q7">
        <v>4500</v>
      </c>
      <c r="R7">
        <v>95</v>
      </c>
      <c r="S7">
        <v>19</v>
      </c>
      <c r="T7" t="s">
        <v>999</v>
      </c>
      <c r="U7">
        <v>3.7040000000000002</v>
      </c>
      <c r="V7">
        <v>0.4</v>
      </c>
      <c r="W7">
        <v>0</v>
      </c>
      <c r="X7">
        <v>0</v>
      </c>
      <c r="Y7">
        <v>0</v>
      </c>
      <c r="Z7">
        <v>4.1040000000000001</v>
      </c>
      <c r="AA7">
        <v>6</v>
      </c>
      <c r="AB7">
        <v>2.5099999999999998</v>
      </c>
      <c r="AC7">
        <v>8.36</v>
      </c>
      <c r="AD7">
        <v>34.32</v>
      </c>
      <c r="AE7">
        <v>3.35</v>
      </c>
      <c r="AI7">
        <v>0</v>
      </c>
      <c r="AJ7">
        <v>0</v>
      </c>
      <c r="AK7">
        <v>0</v>
      </c>
      <c r="AL7">
        <v>0</v>
      </c>
    </row>
    <row r="8" spans="2:39" x14ac:dyDescent="0.2">
      <c r="B8">
        <v>0</v>
      </c>
      <c r="C8">
        <v>2</v>
      </c>
      <c r="H8">
        <v>258</v>
      </c>
      <c r="I8">
        <v>610</v>
      </c>
      <c r="J8" t="s">
        <v>1000</v>
      </c>
      <c r="K8" t="s">
        <v>1001</v>
      </c>
      <c r="L8" t="s">
        <v>1002</v>
      </c>
      <c r="O8" t="s">
        <v>399</v>
      </c>
      <c r="U8">
        <v>3.7040000000000002</v>
      </c>
      <c r="V8">
        <v>0.4</v>
      </c>
      <c r="W8">
        <v>0</v>
      </c>
      <c r="X8">
        <v>0</v>
      </c>
      <c r="Y8">
        <v>0</v>
      </c>
      <c r="Z8">
        <v>4.1040000000000001</v>
      </c>
      <c r="AA8">
        <v>6</v>
      </c>
      <c r="AB8">
        <v>2.5099999999999998</v>
      </c>
      <c r="AC8">
        <v>8.36</v>
      </c>
      <c r="AD8">
        <v>34.32</v>
      </c>
      <c r="AE8">
        <v>3.35</v>
      </c>
      <c r="AI8">
        <v>0</v>
      </c>
      <c r="AJ8">
        <v>0</v>
      </c>
      <c r="AK8">
        <v>0</v>
      </c>
      <c r="AL8">
        <v>0</v>
      </c>
    </row>
    <row r="9" spans="2:39" x14ac:dyDescent="0.2">
      <c r="B9">
        <v>10</v>
      </c>
      <c r="C9">
        <v>3</v>
      </c>
      <c r="D9" t="s">
        <v>283</v>
      </c>
      <c r="E9" t="s">
        <v>327</v>
      </c>
      <c r="F9" t="s">
        <v>294</v>
      </c>
      <c r="G9">
        <v>7</v>
      </c>
      <c r="H9">
        <v>227</v>
      </c>
      <c r="I9">
        <v>532</v>
      </c>
      <c r="J9" t="s">
        <v>1003</v>
      </c>
      <c r="K9" t="s">
        <v>1004</v>
      </c>
      <c r="L9" t="s">
        <v>1005</v>
      </c>
      <c r="M9">
        <v>100</v>
      </c>
      <c r="N9">
        <v>0</v>
      </c>
      <c r="O9" s="11">
        <v>44385</v>
      </c>
      <c r="P9" t="s">
        <v>408</v>
      </c>
      <c r="Q9">
        <v>87792</v>
      </c>
      <c r="R9">
        <v>1865</v>
      </c>
      <c r="S9">
        <v>373</v>
      </c>
      <c r="T9" t="s">
        <v>1006</v>
      </c>
      <c r="U9">
        <v>1.35</v>
      </c>
      <c r="V9">
        <v>0</v>
      </c>
      <c r="W9">
        <v>0</v>
      </c>
      <c r="X9">
        <v>0</v>
      </c>
      <c r="Y9">
        <v>0</v>
      </c>
      <c r="Z9">
        <v>1.35</v>
      </c>
      <c r="AA9">
        <v>8</v>
      </c>
      <c r="AB9">
        <v>4.8600000000000003</v>
      </c>
      <c r="AC9">
        <v>4.8600000000000003</v>
      </c>
      <c r="AD9">
        <v>17.59</v>
      </c>
      <c r="AE9">
        <v>10.45</v>
      </c>
      <c r="AF9" t="s">
        <v>1007</v>
      </c>
      <c r="AG9" t="s">
        <v>1008</v>
      </c>
      <c r="AH9" t="s">
        <v>1009</v>
      </c>
      <c r="AI9">
        <v>8</v>
      </c>
      <c r="AJ9">
        <v>4.8600000000000003</v>
      </c>
      <c r="AK9">
        <v>8</v>
      </c>
      <c r="AL9">
        <v>4.8600000000000003</v>
      </c>
    </row>
    <row r="10" spans="2:39" x14ac:dyDescent="0.2">
      <c r="B10">
        <v>0</v>
      </c>
      <c r="C10">
        <v>3</v>
      </c>
      <c r="H10">
        <v>227</v>
      </c>
      <c r="I10">
        <v>531</v>
      </c>
      <c r="J10" t="s">
        <v>1010</v>
      </c>
      <c r="K10" t="s">
        <v>1011</v>
      </c>
      <c r="L10" t="s">
        <v>1012</v>
      </c>
      <c r="O10" t="s">
        <v>399</v>
      </c>
      <c r="U10">
        <v>1.35</v>
      </c>
      <c r="V10">
        <v>0</v>
      </c>
      <c r="W10">
        <v>0</v>
      </c>
      <c r="X10">
        <v>0</v>
      </c>
      <c r="Y10">
        <v>0</v>
      </c>
      <c r="Z10">
        <v>1.35</v>
      </c>
      <c r="AA10">
        <v>8</v>
      </c>
      <c r="AB10">
        <v>4.8600000000000003</v>
      </c>
      <c r="AC10">
        <v>4.8600000000000003</v>
      </c>
      <c r="AD10">
        <v>17</v>
      </c>
      <c r="AE10">
        <v>10.45</v>
      </c>
      <c r="AI10">
        <v>8</v>
      </c>
      <c r="AJ10">
        <v>4.8600000000000003</v>
      </c>
      <c r="AK10">
        <v>8</v>
      </c>
      <c r="AL10">
        <v>4.8600000000000003</v>
      </c>
    </row>
    <row r="11" spans="2:39" x14ac:dyDescent="0.2">
      <c r="B11">
        <v>10</v>
      </c>
      <c r="C11">
        <v>3</v>
      </c>
      <c r="D11" t="s">
        <v>283</v>
      </c>
      <c r="E11" t="s">
        <v>327</v>
      </c>
      <c r="F11" t="s">
        <v>292</v>
      </c>
      <c r="G11">
        <v>7</v>
      </c>
      <c r="H11">
        <v>228</v>
      </c>
      <c r="I11">
        <v>534</v>
      </c>
      <c r="J11" t="s">
        <v>1013</v>
      </c>
      <c r="K11" t="s">
        <v>1014</v>
      </c>
      <c r="L11" t="s">
        <v>1015</v>
      </c>
      <c r="M11">
        <v>100</v>
      </c>
      <c r="N11">
        <v>0</v>
      </c>
      <c r="O11" s="11">
        <v>44385</v>
      </c>
      <c r="P11" t="s">
        <v>408</v>
      </c>
      <c r="Q11">
        <v>24096</v>
      </c>
      <c r="R11">
        <v>510</v>
      </c>
      <c r="S11">
        <v>102</v>
      </c>
      <c r="T11" t="s">
        <v>1016</v>
      </c>
      <c r="U11">
        <v>1.35</v>
      </c>
      <c r="V11">
        <v>0</v>
      </c>
      <c r="W11">
        <v>0</v>
      </c>
      <c r="X11">
        <v>0</v>
      </c>
      <c r="Y11">
        <v>0</v>
      </c>
      <c r="Z11">
        <v>1.35</v>
      </c>
      <c r="AA11">
        <v>8</v>
      </c>
      <c r="AB11">
        <v>4.8600000000000003</v>
      </c>
      <c r="AC11">
        <v>4.8600000000000003</v>
      </c>
      <c r="AD11">
        <v>17.59</v>
      </c>
      <c r="AE11">
        <v>10.45</v>
      </c>
      <c r="AF11" t="s">
        <v>1007</v>
      </c>
      <c r="AG11" t="s">
        <v>1008</v>
      </c>
      <c r="AH11" t="s">
        <v>1009</v>
      </c>
      <c r="AI11">
        <v>8</v>
      </c>
      <c r="AJ11">
        <v>4.8600000000000003</v>
      </c>
      <c r="AK11">
        <v>8</v>
      </c>
      <c r="AL11">
        <v>4.8600000000000003</v>
      </c>
    </row>
    <row r="12" spans="2:39" x14ac:dyDescent="0.2">
      <c r="B12">
        <v>0</v>
      </c>
      <c r="C12">
        <v>3</v>
      </c>
      <c r="H12">
        <v>228</v>
      </c>
      <c r="I12">
        <v>533</v>
      </c>
      <c r="J12" t="s">
        <v>1017</v>
      </c>
      <c r="K12" t="s">
        <v>1018</v>
      </c>
      <c r="L12" t="s">
        <v>1019</v>
      </c>
      <c r="O12" t="s">
        <v>399</v>
      </c>
      <c r="U12">
        <v>1.35</v>
      </c>
      <c r="V12">
        <v>0</v>
      </c>
      <c r="W12">
        <v>0</v>
      </c>
      <c r="X12">
        <v>0</v>
      </c>
      <c r="Y12">
        <v>0</v>
      </c>
      <c r="Z12">
        <v>1.35</v>
      </c>
      <c r="AA12">
        <v>8</v>
      </c>
      <c r="AB12">
        <v>4.8600000000000003</v>
      </c>
      <c r="AC12">
        <v>4.8600000000000003</v>
      </c>
      <c r="AD12">
        <v>17</v>
      </c>
      <c r="AE12">
        <v>10.45</v>
      </c>
      <c r="AI12">
        <v>8</v>
      </c>
      <c r="AJ12">
        <v>4.8600000000000003</v>
      </c>
      <c r="AK12">
        <v>8</v>
      </c>
      <c r="AL12">
        <v>4.8600000000000003</v>
      </c>
    </row>
    <row r="13" spans="2:39" x14ac:dyDescent="0.2">
      <c r="B13">
        <v>10</v>
      </c>
      <c r="C13">
        <v>3</v>
      </c>
      <c r="D13" t="s">
        <v>283</v>
      </c>
      <c r="E13" t="s">
        <v>327</v>
      </c>
      <c r="F13" t="s">
        <v>290</v>
      </c>
      <c r="G13">
        <v>7</v>
      </c>
      <c r="H13">
        <v>229</v>
      </c>
      <c r="I13">
        <v>535</v>
      </c>
      <c r="J13" t="s">
        <v>1020</v>
      </c>
      <c r="K13" t="s">
        <v>1021</v>
      </c>
      <c r="L13" t="s">
        <v>1022</v>
      </c>
      <c r="M13">
        <v>46</v>
      </c>
      <c r="N13">
        <v>0</v>
      </c>
      <c r="O13" s="11">
        <v>44385</v>
      </c>
      <c r="P13" t="s">
        <v>413</v>
      </c>
      <c r="Q13">
        <v>7500</v>
      </c>
      <c r="R13">
        <v>155</v>
      </c>
      <c r="S13">
        <v>31</v>
      </c>
      <c r="T13" t="s">
        <v>999</v>
      </c>
      <c r="U13">
        <v>2.8883000000000001</v>
      </c>
      <c r="V13">
        <v>0.35</v>
      </c>
      <c r="W13">
        <v>0</v>
      </c>
      <c r="X13">
        <v>0</v>
      </c>
      <c r="Y13">
        <v>0</v>
      </c>
      <c r="Z13">
        <v>3.2383000000000002</v>
      </c>
      <c r="AA13">
        <v>52</v>
      </c>
      <c r="AB13">
        <v>29.58</v>
      </c>
      <c r="AC13">
        <v>64.3</v>
      </c>
      <c r="AD13">
        <v>240.69</v>
      </c>
      <c r="AE13">
        <v>54.98</v>
      </c>
      <c r="AF13" t="s">
        <v>1023</v>
      </c>
      <c r="AG13" t="s">
        <v>1024</v>
      </c>
      <c r="AH13" t="s">
        <v>1025</v>
      </c>
      <c r="AI13">
        <v>22</v>
      </c>
      <c r="AJ13">
        <v>14.95</v>
      </c>
      <c r="AK13">
        <v>30</v>
      </c>
      <c r="AL13">
        <v>18.3</v>
      </c>
    </row>
    <row r="14" spans="2:39" x14ac:dyDescent="0.2">
      <c r="B14">
        <v>0</v>
      </c>
      <c r="C14">
        <v>3</v>
      </c>
      <c r="H14">
        <v>229</v>
      </c>
      <c r="I14">
        <v>536</v>
      </c>
      <c r="J14" t="s">
        <v>1026</v>
      </c>
      <c r="K14" t="s">
        <v>1027</v>
      </c>
      <c r="L14" t="s">
        <v>1028</v>
      </c>
      <c r="O14" t="s">
        <v>399</v>
      </c>
      <c r="U14">
        <v>2.8883000000000001</v>
      </c>
      <c r="V14">
        <v>0.35</v>
      </c>
      <c r="W14">
        <v>0</v>
      </c>
      <c r="X14">
        <v>0</v>
      </c>
      <c r="Y14">
        <v>0</v>
      </c>
      <c r="Z14">
        <v>3.2383000000000002</v>
      </c>
      <c r="AA14">
        <v>54</v>
      </c>
      <c r="AB14">
        <v>30.62</v>
      </c>
      <c r="AC14">
        <v>66.56</v>
      </c>
      <c r="AD14">
        <v>248.01</v>
      </c>
      <c r="AE14">
        <v>55.77</v>
      </c>
      <c r="AI14">
        <v>22</v>
      </c>
      <c r="AJ14">
        <v>14.95</v>
      </c>
      <c r="AK14">
        <v>30</v>
      </c>
      <c r="AL14">
        <v>18.3</v>
      </c>
    </row>
    <row r="15" spans="2:39" x14ac:dyDescent="0.2">
      <c r="B15">
        <v>0</v>
      </c>
      <c r="C15">
        <v>3</v>
      </c>
      <c r="H15">
        <v>229</v>
      </c>
      <c r="I15">
        <v>537</v>
      </c>
      <c r="J15" t="s">
        <v>1029</v>
      </c>
      <c r="K15" t="s">
        <v>1030</v>
      </c>
      <c r="L15" t="s">
        <v>998</v>
      </c>
      <c r="O15" t="s">
        <v>399</v>
      </c>
      <c r="U15">
        <v>2.8883000000000001</v>
      </c>
      <c r="V15">
        <v>0.35</v>
      </c>
      <c r="W15">
        <v>0</v>
      </c>
      <c r="X15">
        <v>0</v>
      </c>
      <c r="Y15">
        <v>0</v>
      </c>
      <c r="Z15">
        <v>3.2383000000000002</v>
      </c>
      <c r="AA15">
        <v>52</v>
      </c>
      <c r="AB15">
        <v>29.58</v>
      </c>
      <c r="AC15">
        <v>64.3</v>
      </c>
      <c r="AD15">
        <v>240.69</v>
      </c>
      <c r="AE15">
        <v>54.98</v>
      </c>
      <c r="AI15">
        <v>22</v>
      </c>
      <c r="AJ15">
        <v>14.95</v>
      </c>
      <c r="AK15">
        <v>30</v>
      </c>
      <c r="AL15">
        <v>18.3</v>
      </c>
    </row>
    <row r="16" spans="2:39" x14ac:dyDescent="0.2">
      <c r="B16">
        <v>10</v>
      </c>
      <c r="C16">
        <v>3</v>
      </c>
      <c r="D16" t="s">
        <v>283</v>
      </c>
      <c r="E16" t="s">
        <v>327</v>
      </c>
      <c r="F16" t="s">
        <v>288</v>
      </c>
      <c r="G16">
        <v>5</v>
      </c>
      <c r="H16">
        <v>230</v>
      </c>
      <c r="I16">
        <v>539</v>
      </c>
      <c r="J16" t="s">
        <v>1031</v>
      </c>
      <c r="K16" t="s">
        <v>1032</v>
      </c>
      <c r="L16" t="s">
        <v>1028</v>
      </c>
      <c r="M16">
        <v>53</v>
      </c>
      <c r="N16">
        <v>0</v>
      </c>
      <c r="O16" s="11">
        <v>44385</v>
      </c>
      <c r="P16" t="s">
        <v>416</v>
      </c>
      <c r="Q16">
        <v>37500</v>
      </c>
      <c r="R16">
        <v>795</v>
      </c>
      <c r="S16">
        <v>159</v>
      </c>
      <c r="T16" t="s">
        <v>1033</v>
      </c>
      <c r="U16">
        <v>1.9142999999999999</v>
      </c>
      <c r="V16">
        <v>0.35</v>
      </c>
      <c r="W16">
        <v>0</v>
      </c>
      <c r="X16">
        <v>0</v>
      </c>
      <c r="Y16">
        <v>0</v>
      </c>
      <c r="Z16">
        <v>2.2643</v>
      </c>
      <c r="AA16">
        <v>48</v>
      </c>
      <c r="AB16">
        <v>26.74</v>
      </c>
      <c r="AC16">
        <v>50.45</v>
      </c>
      <c r="AD16">
        <v>139</v>
      </c>
      <c r="AE16">
        <v>42.42</v>
      </c>
      <c r="AF16" t="s">
        <v>1034</v>
      </c>
      <c r="AG16" t="s">
        <v>1035</v>
      </c>
      <c r="AI16">
        <v>20</v>
      </c>
      <c r="AJ16">
        <v>12.34</v>
      </c>
      <c r="AK16">
        <v>24</v>
      </c>
      <c r="AL16">
        <v>15.43</v>
      </c>
    </row>
    <row r="17" spans="2:38" x14ac:dyDescent="0.2">
      <c r="B17">
        <v>0</v>
      </c>
      <c r="C17">
        <v>3</v>
      </c>
      <c r="H17">
        <v>230</v>
      </c>
      <c r="I17">
        <v>538</v>
      </c>
      <c r="J17" t="s">
        <v>1036</v>
      </c>
      <c r="K17" t="s">
        <v>1037</v>
      </c>
      <c r="L17" t="s">
        <v>998</v>
      </c>
      <c r="O17" t="s">
        <v>399</v>
      </c>
      <c r="U17">
        <v>1.9142999999999999</v>
      </c>
      <c r="V17">
        <v>0.35</v>
      </c>
      <c r="W17">
        <v>0</v>
      </c>
      <c r="X17">
        <v>0</v>
      </c>
      <c r="Y17">
        <v>0</v>
      </c>
      <c r="Z17">
        <v>2.2643</v>
      </c>
      <c r="AA17">
        <v>48</v>
      </c>
      <c r="AB17">
        <v>26.74</v>
      </c>
      <c r="AC17">
        <v>50.45</v>
      </c>
      <c r="AD17">
        <v>139</v>
      </c>
      <c r="AE17">
        <v>42.42</v>
      </c>
      <c r="AI17">
        <v>20</v>
      </c>
      <c r="AJ17">
        <v>12.34</v>
      </c>
      <c r="AK17">
        <v>24</v>
      </c>
      <c r="AL17">
        <v>15.43</v>
      </c>
    </row>
    <row r="18" spans="2:38" x14ac:dyDescent="0.2">
      <c r="B18">
        <v>10</v>
      </c>
      <c r="C18">
        <v>3</v>
      </c>
      <c r="D18" t="s">
        <v>283</v>
      </c>
      <c r="E18" t="s">
        <v>327</v>
      </c>
      <c r="F18" t="s">
        <v>286</v>
      </c>
      <c r="G18">
        <v>6</v>
      </c>
      <c r="H18">
        <v>231</v>
      </c>
      <c r="I18">
        <v>541</v>
      </c>
      <c r="J18" t="s">
        <v>1038</v>
      </c>
      <c r="K18" t="s">
        <v>1039</v>
      </c>
      <c r="L18" t="s">
        <v>1040</v>
      </c>
      <c r="M18">
        <v>100</v>
      </c>
      <c r="N18">
        <v>0</v>
      </c>
      <c r="O18" s="11">
        <v>44385</v>
      </c>
      <c r="P18" t="s">
        <v>408</v>
      </c>
      <c r="Q18">
        <v>6528</v>
      </c>
      <c r="R18">
        <v>135</v>
      </c>
      <c r="S18">
        <v>27</v>
      </c>
      <c r="T18" t="s">
        <v>1041</v>
      </c>
      <c r="U18">
        <v>3.1</v>
      </c>
      <c r="V18">
        <v>0</v>
      </c>
      <c r="W18">
        <v>0</v>
      </c>
      <c r="X18">
        <v>0</v>
      </c>
      <c r="Y18">
        <v>0</v>
      </c>
      <c r="Z18">
        <v>3.1</v>
      </c>
      <c r="AA18">
        <v>8</v>
      </c>
      <c r="AB18">
        <v>4.5</v>
      </c>
      <c r="AC18">
        <v>4.5</v>
      </c>
      <c r="AD18">
        <v>21.79</v>
      </c>
      <c r="AE18">
        <v>7.83</v>
      </c>
      <c r="AF18" t="s">
        <v>1007</v>
      </c>
      <c r="AG18" t="s">
        <v>1008</v>
      </c>
      <c r="AI18">
        <v>8</v>
      </c>
      <c r="AJ18">
        <v>4.5</v>
      </c>
      <c r="AK18">
        <v>8</v>
      </c>
      <c r="AL18">
        <v>4.5</v>
      </c>
    </row>
    <row r="19" spans="2:38" x14ac:dyDescent="0.2">
      <c r="B19">
        <v>0</v>
      </c>
      <c r="C19">
        <v>3</v>
      </c>
      <c r="H19">
        <v>231</v>
      </c>
      <c r="I19">
        <v>540</v>
      </c>
      <c r="J19" t="s">
        <v>1042</v>
      </c>
      <c r="K19" t="s">
        <v>1043</v>
      </c>
      <c r="L19" t="s">
        <v>1044</v>
      </c>
      <c r="O19" t="s">
        <v>399</v>
      </c>
      <c r="U19">
        <v>3.1</v>
      </c>
      <c r="V19">
        <v>0</v>
      </c>
      <c r="W19">
        <v>0</v>
      </c>
      <c r="X19">
        <v>0</v>
      </c>
      <c r="Y19">
        <v>0</v>
      </c>
      <c r="Z19">
        <v>3.1</v>
      </c>
      <c r="AA19">
        <v>8</v>
      </c>
      <c r="AB19">
        <v>4.5</v>
      </c>
      <c r="AC19">
        <v>4.5</v>
      </c>
      <c r="AD19">
        <v>21.79</v>
      </c>
      <c r="AE19">
        <v>7.83</v>
      </c>
      <c r="AI19">
        <v>8</v>
      </c>
      <c r="AJ19">
        <v>4.5</v>
      </c>
      <c r="AK19">
        <v>8</v>
      </c>
      <c r="AL19">
        <v>4.5</v>
      </c>
    </row>
    <row r="20" spans="2:38" x14ac:dyDescent="0.2">
      <c r="B20">
        <v>0</v>
      </c>
      <c r="C20">
        <v>3</v>
      </c>
      <c r="H20">
        <v>231</v>
      </c>
      <c r="I20">
        <v>542</v>
      </c>
      <c r="J20" t="s">
        <v>1045</v>
      </c>
      <c r="K20" t="s">
        <v>1046</v>
      </c>
      <c r="L20" t="s">
        <v>1047</v>
      </c>
      <c r="O20" t="s">
        <v>399</v>
      </c>
      <c r="U20">
        <v>3.1</v>
      </c>
      <c r="V20">
        <v>0</v>
      </c>
      <c r="W20">
        <v>0</v>
      </c>
      <c r="X20">
        <v>0</v>
      </c>
      <c r="Y20">
        <v>0</v>
      </c>
      <c r="Z20">
        <v>3.1</v>
      </c>
      <c r="AA20">
        <v>8</v>
      </c>
      <c r="AB20">
        <v>4.5</v>
      </c>
      <c r="AC20">
        <v>4.5</v>
      </c>
      <c r="AD20">
        <v>22.53</v>
      </c>
      <c r="AE20">
        <v>7.83</v>
      </c>
      <c r="AI20">
        <v>8</v>
      </c>
      <c r="AJ20">
        <v>4.5</v>
      </c>
      <c r="AK20">
        <v>8</v>
      </c>
      <c r="AL20">
        <v>4.5</v>
      </c>
    </row>
    <row r="21" spans="2:38" x14ac:dyDescent="0.2">
      <c r="B21">
        <v>10</v>
      </c>
      <c r="C21">
        <v>3</v>
      </c>
      <c r="D21" t="s">
        <v>283</v>
      </c>
      <c r="E21" t="s">
        <v>327</v>
      </c>
      <c r="F21" t="s">
        <v>284</v>
      </c>
      <c r="G21">
        <v>9</v>
      </c>
      <c r="H21">
        <v>232</v>
      </c>
      <c r="I21">
        <v>544</v>
      </c>
      <c r="J21" t="s">
        <v>1042</v>
      </c>
      <c r="K21" t="s">
        <v>1043</v>
      </c>
      <c r="L21" t="s">
        <v>1044</v>
      </c>
      <c r="M21">
        <v>100</v>
      </c>
      <c r="N21">
        <v>0</v>
      </c>
      <c r="O21" s="11">
        <v>44385</v>
      </c>
      <c r="P21" t="s">
        <v>408</v>
      </c>
      <c r="Q21">
        <v>6528</v>
      </c>
      <c r="R21">
        <v>135</v>
      </c>
      <c r="S21">
        <v>27</v>
      </c>
      <c r="T21" t="s">
        <v>1041</v>
      </c>
      <c r="U21">
        <v>3.1</v>
      </c>
      <c r="V21">
        <v>0</v>
      </c>
      <c r="W21">
        <v>0</v>
      </c>
      <c r="X21">
        <v>0</v>
      </c>
      <c r="Y21">
        <v>0</v>
      </c>
      <c r="Z21">
        <v>3.1</v>
      </c>
      <c r="AA21">
        <v>8</v>
      </c>
      <c r="AB21">
        <v>5.43</v>
      </c>
      <c r="AC21">
        <v>5.43</v>
      </c>
      <c r="AD21">
        <v>52.51</v>
      </c>
      <c r="AE21">
        <v>35.69</v>
      </c>
      <c r="AF21" t="s">
        <v>1048</v>
      </c>
      <c r="AG21" t="s">
        <v>1008</v>
      </c>
      <c r="AH21" t="s">
        <v>1049</v>
      </c>
      <c r="AI21">
        <v>8</v>
      </c>
      <c r="AJ21">
        <v>5.43</v>
      </c>
      <c r="AK21">
        <v>8</v>
      </c>
      <c r="AL21">
        <v>5.43</v>
      </c>
    </row>
    <row r="22" spans="2:38" x14ac:dyDescent="0.2">
      <c r="B22">
        <v>0</v>
      </c>
      <c r="C22">
        <v>3</v>
      </c>
      <c r="H22">
        <v>232</v>
      </c>
      <c r="I22">
        <v>545</v>
      </c>
      <c r="J22" t="s">
        <v>1038</v>
      </c>
      <c r="K22" t="s">
        <v>1039</v>
      </c>
      <c r="L22" t="s">
        <v>1040</v>
      </c>
      <c r="O22" t="s">
        <v>399</v>
      </c>
      <c r="U22">
        <v>3.1</v>
      </c>
      <c r="V22">
        <v>0</v>
      </c>
      <c r="W22">
        <v>0</v>
      </c>
      <c r="X22">
        <v>0</v>
      </c>
      <c r="Y22">
        <v>0</v>
      </c>
      <c r="Z22">
        <v>3.1</v>
      </c>
      <c r="AA22">
        <v>8</v>
      </c>
      <c r="AB22">
        <v>5.43</v>
      </c>
      <c r="AC22">
        <v>5.43</v>
      </c>
      <c r="AD22">
        <v>52.51</v>
      </c>
      <c r="AE22">
        <v>35.69</v>
      </c>
      <c r="AI22">
        <v>8</v>
      </c>
      <c r="AJ22">
        <v>5.43</v>
      </c>
      <c r="AK22">
        <v>8</v>
      </c>
      <c r="AL22">
        <v>5.43</v>
      </c>
    </row>
    <row r="23" spans="2:38" x14ac:dyDescent="0.2">
      <c r="B23">
        <v>0</v>
      </c>
      <c r="C23">
        <v>3</v>
      </c>
      <c r="H23">
        <v>232</v>
      </c>
      <c r="I23">
        <v>543</v>
      </c>
      <c r="J23" t="s">
        <v>1050</v>
      </c>
      <c r="K23" t="s">
        <v>1051</v>
      </c>
      <c r="L23" t="s">
        <v>1052</v>
      </c>
      <c r="O23" t="s">
        <v>399</v>
      </c>
      <c r="U23">
        <v>3.1</v>
      </c>
      <c r="V23">
        <v>0</v>
      </c>
      <c r="W23">
        <v>0</v>
      </c>
      <c r="X23">
        <v>0</v>
      </c>
      <c r="Y23">
        <v>0</v>
      </c>
      <c r="Z23">
        <v>3.1</v>
      </c>
      <c r="AA23">
        <v>8</v>
      </c>
      <c r="AB23">
        <v>5.43</v>
      </c>
      <c r="AC23">
        <v>5.43</v>
      </c>
      <c r="AD23">
        <v>53.41</v>
      </c>
      <c r="AE23">
        <v>35.69</v>
      </c>
      <c r="AI23">
        <v>8</v>
      </c>
      <c r="AJ23">
        <v>5.43</v>
      </c>
      <c r="AK23">
        <v>8</v>
      </c>
      <c r="AL23">
        <v>5.43</v>
      </c>
    </row>
    <row r="24" spans="2:38" x14ac:dyDescent="0.2">
      <c r="B24">
        <v>10</v>
      </c>
      <c r="C24">
        <v>3</v>
      </c>
      <c r="D24" t="s">
        <v>283</v>
      </c>
      <c r="E24" t="s">
        <v>327</v>
      </c>
      <c r="F24" t="s">
        <v>281</v>
      </c>
      <c r="G24">
        <v>6</v>
      </c>
      <c r="H24">
        <v>273</v>
      </c>
      <c r="I24">
        <v>642</v>
      </c>
      <c r="J24" t="s">
        <v>1020</v>
      </c>
      <c r="K24" t="s">
        <v>1021</v>
      </c>
      <c r="L24" t="s">
        <v>1022</v>
      </c>
      <c r="M24">
        <v>46</v>
      </c>
      <c r="N24">
        <v>0</v>
      </c>
      <c r="O24" s="11">
        <v>44424</v>
      </c>
      <c r="P24" t="s">
        <v>413</v>
      </c>
      <c r="Q24">
        <v>7500</v>
      </c>
      <c r="R24">
        <v>155</v>
      </c>
      <c r="S24">
        <v>31</v>
      </c>
      <c r="T24" t="s">
        <v>999</v>
      </c>
      <c r="U24">
        <v>2.8883000000000001</v>
      </c>
      <c r="V24">
        <v>0.35</v>
      </c>
      <c r="W24">
        <v>0</v>
      </c>
      <c r="X24">
        <v>0</v>
      </c>
      <c r="Y24">
        <v>0</v>
      </c>
      <c r="Z24">
        <v>3.2383000000000002</v>
      </c>
      <c r="AA24">
        <v>54</v>
      </c>
      <c r="AB24">
        <v>33.61</v>
      </c>
      <c r="AC24">
        <v>73.069999999999993</v>
      </c>
      <c r="AD24">
        <v>388.77</v>
      </c>
      <c r="AE24">
        <v>177.73</v>
      </c>
      <c r="AF24" t="s">
        <v>1023</v>
      </c>
      <c r="AG24" t="s">
        <v>1053</v>
      </c>
      <c r="AH24" t="s">
        <v>1054</v>
      </c>
      <c r="AI24">
        <v>34</v>
      </c>
      <c r="AJ24">
        <v>23.41</v>
      </c>
      <c r="AK24">
        <v>30</v>
      </c>
      <c r="AL24">
        <v>21.29</v>
      </c>
    </row>
    <row r="25" spans="2:38" x14ac:dyDescent="0.2">
      <c r="B25">
        <v>0</v>
      </c>
      <c r="C25">
        <v>3</v>
      </c>
      <c r="H25">
        <v>273</v>
      </c>
      <c r="I25">
        <v>641</v>
      </c>
      <c r="J25" t="s">
        <v>1029</v>
      </c>
      <c r="K25" t="s">
        <v>1030</v>
      </c>
      <c r="L25" t="s">
        <v>998</v>
      </c>
      <c r="O25" t="s">
        <v>399</v>
      </c>
      <c r="U25">
        <v>2.8883000000000001</v>
      </c>
      <c r="V25">
        <v>0.35</v>
      </c>
      <c r="W25">
        <v>0</v>
      </c>
      <c r="X25">
        <v>0</v>
      </c>
      <c r="Y25">
        <v>0</v>
      </c>
      <c r="Z25">
        <v>3.2383000000000002</v>
      </c>
      <c r="AA25">
        <v>54</v>
      </c>
      <c r="AB25">
        <v>33.61</v>
      </c>
      <c r="AC25">
        <v>73.069999999999993</v>
      </c>
      <c r="AD25">
        <v>388.77</v>
      </c>
      <c r="AE25">
        <v>177.73</v>
      </c>
      <c r="AI25">
        <v>34</v>
      </c>
      <c r="AJ25">
        <v>23.41</v>
      </c>
      <c r="AK25">
        <v>30</v>
      </c>
      <c r="AL25">
        <v>21.29</v>
      </c>
    </row>
    <row r="26" spans="2:38" x14ac:dyDescent="0.2">
      <c r="B26">
        <v>0</v>
      </c>
      <c r="C26">
        <v>3</v>
      </c>
      <c r="H26">
        <v>273</v>
      </c>
      <c r="I26">
        <v>640</v>
      </c>
      <c r="J26" t="s">
        <v>1055</v>
      </c>
      <c r="K26" t="s">
        <v>1056</v>
      </c>
      <c r="L26" t="s">
        <v>1002</v>
      </c>
      <c r="O26" t="s">
        <v>399</v>
      </c>
      <c r="U26">
        <v>2.8883000000000001</v>
      </c>
      <c r="V26">
        <v>0.35</v>
      </c>
      <c r="W26">
        <v>0</v>
      </c>
      <c r="X26">
        <v>0</v>
      </c>
      <c r="Y26">
        <v>0</v>
      </c>
      <c r="Z26">
        <v>3.2383000000000002</v>
      </c>
      <c r="AA26">
        <v>54</v>
      </c>
      <c r="AB26">
        <v>33.61</v>
      </c>
      <c r="AC26">
        <v>73.069999999999993</v>
      </c>
      <c r="AD26">
        <v>388.77</v>
      </c>
      <c r="AE26">
        <v>177.73</v>
      </c>
      <c r="AI26">
        <v>34</v>
      </c>
      <c r="AJ26">
        <v>23.41</v>
      </c>
      <c r="AK26">
        <v>30</v>
      </c>
      <c r="AL26">
        <v>21.29</v>
      </c>
    </row>
    <row r="27" spans="2:38" x14ac:dyDescent="0.2">
      <c r="B27">
        <v>10</v>
      </c>
      <c r="C27">
        <v>4</v>
      </c>
      <c r="D27" t="s">
        <v>273</v>
      </c>
      <c r="E27" t="s">
        <v>324</v>
      </c>
      <c r="F27" t="s">
        <v>313</v>
      </c>
      <c r="G27">
        <v>2</v>
      </c>
      <c r="H27">
        <v>235</v>
      </c>
      <c r="I27">
        <v>551</v>
      </c>
      <c r="J27" t="s">
        <v>1055</v>
      </c>
      <c r="K27" t="s">
        <v>1056</v>
      </c>
      <c r="L27" t="s">
        <v>1002</v>
      </c>
      <c r="M27">
        <v>39</v>
      </c>
      <c r="N27">
        <v>0</v>
      </c>
      <c r="O27" s="11">
        <v>44390</v>
      </c>
      <c r="P27" t="s">
        <v>404</v>
      </c>
      <c r="Q27">
        <v>2933</v>
      </c>
      <c r="R27">
        <v>60</v>
      </c>
      <c r="S27">
        <v>12</v>
      </c>
      <c r="T27" t="s">
        <v>999</v>
      </c>
      <c r="U27">
        <v>2.8879999999999999</v>
      </c>
      <c r="V27">
        <v>0.4</v>
      </c>
      <c r="W27">
        <v>0</v>
      </c>
      <c r="X27">
        <v>0</v>
      </c>
      <c r="Y27">
        <v>0</v>
      </c>
      <c r="Z27">
        <v>3.2879999999999998</v>
      </c>
      <c r="AA27">
        <v>6</v>
      </c>
      <c r="AB27">
        <v>1.9</v>
      </c>
      <c r="AC27">
        <v>4.88</v>
      </c>
      <c r="AD27">
        <v>16.04</v>
      </c>
      <c r="AE27">
        <v>1.95</v>
      </c>
      <c r="AI27">
        <v>0</v>
      </c>
      <c r="AJ27">
        <v>0</v>
      </c>
      <c r="AK27">
        <v>0</v>
      </c>
      <c r="AL27">
        <v>0</v>
      </c>
    </row>
    <row r="28" spans="2:38" x14ac:dyDescent="0.2">
      <c r="B28">
        <v>0</v>
      </c>
      <c r="C28">
        <v>4</v>
      </c>
      <c r="H28">
        <v>235</v>
      </c>
      <c r="I28">
        <v>552</v>
      </c>
      <c r="J28" t="s">
        <v>1029</v>
      </c>
      <c r="K28" t="s">
        <v>1030</v>
      </c>
      <c r="L28" t="s">
        <v>998</v>
      </c>
      <c r="O28" t="s">
        <v>399</v>
      </c>
      <c r="U28">
        <v>2.8879999999999999</v>
      </c>
      <c r="V28">
        <v>0.4</v>
      </c>
      <c r="W28">
        <v>0</v>
      </c>
      <c r="X28">
        <v>0</v>
      </c>
      <c r="Y28">
        <v>0</v>
      </c>
      <c r="Z28">
        <v>3.2879999999999998</v>
      </c>
      <c r="AA28">
        <v>6</v>
      </c>
      <c r="AB28">
        <v>1.9</v>
      </c>
      <c r="AC28">
        <v>4.88</v>
      </c>
      <c r="AD28">
        <v>16.04</v>
      </c>
      <c r="AE28">
        <v>1.95</v>
      </c>
      <c r="AI28">
        <v>0</v>
      </c>
      <c r="AJ28">
        <v>0</v>
      </c>
      <c r="AK28">
        <v>0</v>
      </c>
      <c r="AL28">
        <v>0</v>
      </c>
    </row>
    <row r="29" spans="2:38" x14ac:dyDescent="0.2">
      <c r="B29">
        <v>10</v>
      </c>
      <c r="C29">
        <v>4</v>
      </c>
      <c r="D29" t="s">
        <v>273</v>
      </c>
      <c r="E29" t="s">
        <v>327</v>
      </c>
      <c r="F29" t="s">
        <v>314</v>
      </c>
      <c r="G29">
        <v>2</v>
      </c>
      <c r="H29">
        <v>252</v>
      </c>
      <c r="I29">
        <v>592</v>
      </c>
      <c r="J29" t="s">
        <v>1055</v>
      </c>
      <c r="K29" t="s">
        <v>1056</v>
      </c>
      <c r="L29" t="s">
        <v>1002</v>
      </c>
      <c r="M29">
        <v>44</v>
      </c>
      <c r="N29">
        <v>0</v>
      </c>
      <c r="O29" s="11">
        <v>44413</v>
      </c>
      <c r="P29" t="s">
        <v>404</v>
      </c>
      <c r="Q29">
        <v>42228</v>
      </c>
      <c r="R29">
        <v>895</v>
      </c>
      <c r="S29">
        <v>179</v>
      </c>
      <c r="T29" t="s">
        <v>999</v>
      </c>
      <c r="U29">
        <v>2.8879999999999999</v>
      </c>
      <c r="V29">
        <v>0.60299999999999998</v>
      </c>
      <c r="W29">
        <v>0</v>
      </c>
      <c r="X29">
        <v>0</v>
      </c>
      <c r="Y29">
        <v>0</v>
      </c>
      <c r="Z29">
        <v>3.4910000000000001</v>
      </c>
      <c r="AA29">
        <v>3</v>
      </c>
      <c r="AB29">
        <v>2.59</v>
      </c>
      <c r="AC29">
        <v>5.88</v>
      </c>
      <c r="AD29">
        <v>20.52</v>
      </c>
      <c r="AE29">
        <v>3.54</v>
      </c>
      <c r="AI29">
        <v>0</v>
      </c>
      <c r="AJ29">
        <v>0</v>
      </c>
      <c r="AK29">
        <v>0</v>
      </c>
      <c r="AL29">
        <v>0</v>
      </c>
    </row>
    <row r="30" spans="2:38" x14ac:dyDescent="0.2">
      <c r="B30">
        <v>0</v>
      </c>
      <c r="C30">
        <v>4</v>
      </c>
      <c r="H30">
        <v>252</v>
      </c>
      <c r="I30">
        <v>593</v>
      </c>
      <c r="J30" t="s">
        <v>1029</v>
      </c>
      <c r="K30" t="s">
        <v>1030</v>
      </c>
      <c r="L30" t="s">
        <v>998</v>
      </c>
      <c r="O30" t="s">
        <v>399</v>
      </c>
      <c r="U30">
        <v>2.8879999999999999</v>
      </c>
      <c r="V30">
        <v>0.60299999999999998</v>
      </c>
      <c r="W30">
        <v>0</v>
      </c>
      <c r="X30">
        <v>0</v>
      </c>
      <c r="Y30">
        <v>0</v>
      </c>
      <c r="Z30">
        <v>3.4910000000000001</v>
      </c>
      <c r="AA30">
        <v>3</v>
      </c>
      <c r="AB30">
        <v>2.59</v>
      </c>
      <c r="AC30">
        <v>5.88</v>
      </c>
      <c r="AD30">
        <v>20.52</v>
      </c>
      <c r="AE30">
        <v>3.54</v>
      </c>
      <c r="AI30">
        <v>0</v>
      </c>
      <c r="AJ30">
        <v>0</v>
      </c>
      <c r="AK30">
        <v>0</v>
      </c>
      <c r="AL30">
        <v>0</v>
      </c>
    </row>
    <row r="31" spans="2:38" x14ac:dyDescent="0.2">
      <c r="B31">
        <v>0</v>
      </c>
      <c r="C31">
        <v>4</v>
      </c>
      <c r="H31">
        <v>252</v>
      </c>
      <c r="I31">
        <v>595</v>
      </c>
      <c r="J31" t="s">
        <v>1020</v>
      </c>
      <c r="K31" t="s">
        <v>1021</v>
      </c>
      <c r="L31" t="s">
        <v>1022</v>
      </c>
      <c r="O31" t="s">
        <v>399</v>
      </c>
      <c r="U31">
        <v>2.8879999999999999</v>
      </c>
      <c r="V31">
        <v>0.60299999999999998</v>
      </c>
      <c r="W31">
        <v>0</v>
      </c>
      <c r="X31">
        <v>0</v>
      </c>
      <c r="Y31">
        <v>0</v>
      </c>
      <c r="Z31">
        <v>3.4910000000000001</v>
      </c>
      <c r="AA31">
        <v>3</v>
      </c>
      <c r="AB31">
        <v>2.59</v>
      </c>
      <c r="AC31">
        <v>5.88</v>
      </c>
      <c r="AD31">
        <v>20.52</v>
      </c>
      <c r="AE31">
        <v>3.54</v>
      </c>
      <c r="AI31">
        <v>0</v>
      </c>
      <c r="AJ31">
        <v>0</v>
      </c>
      <c r="AK31">
        <v>0</v>
      </c>
      <c r="AL31">
        <v>0</v>
      </c>
    </row>
    <row r="32" spans="2:38" x14ac:dyDescent="0.2">
      <c r="B32">
        <v>0</v>
      </c>
      <c r="C32">
        <v>4</v>
      </c>
      <c r="H32">
        <v>252</v>
      </c>
      <c r="I32">
        <v>594</v>
      </c>
      <c r="J32" t="s">
        <v>1026</v>
      </c>
      <c r="K32" t="s">
        <v>1027</v>
      </c>
      <c r="L32" t="s">
        <v>1028</v>
      </c>
      <c r="O32" t="s">
        <v>399</v>
      </c>
      <c r="U32">
        <v>2.8879999999999999</v>
      </c>
      <c r="V32">
        <v>0.60299999999999998</v>
      </c>
      <c r="W32">
        <v>0</v>
      </c>
      <c r="X32">
        <v>0</v>
      </c>
      <c r="Y32">
        <v>0</v>
      </c>
      <c r="Z32">
        <v>3.4910000000000001</v>
      </c>
      <c r="AA32">
        <v>3</v>
      </c>
      <c r="AB32">
        <v>2.59</v>
      </c>
      <c r="AC32">
        <v>5.88</v>
      </c>
      <c r="AD32">
        <v>20.52</v>
      </c>
      <c r="AE32">
        <v>3.54</v>
      </c>
      <c r="AI32">
        <v>0</v>
      </c>
      <c r="AJ32">
        <v>0</v>
      </c>
      <c r="AK32">
        <v>0</v>
      </c>
      <c r="AL32">
        <v>0</v>
      </c>
    </row>
    <row r="33" spans="2:38" x14ac:dyDescent="0.2">
      <c r="B33">
        <v>10</v>
      </c>
      <c r="C33">
        <v>4</v>
      </c>
      <c r="D33" t="s">
        <v>273</v>
      </c>
      <c r="E33" t="s">
        <v>324</v>
      </c>
      <c r="F33" t="s">
        <v>315</v>
      </c>
      <c r="G33">
        <v>2</v>
      </c>
      <c r="H33">
        <v>253</v>
      </c>
      <c r="I33">
        <v>596</v>
      </c>
      <c r="J33" t="s">
        <v>1029</v>
      </c>
      <c r="K33" t="s">
        <v>1030</v>
      </c>
      <c r="L33" t="s">
        <v>998</v>
      </c>
      <c r="M33">
        <v>40</v>
      </c>
      <c r="N33">
        <v>0</v>
      </c>
      <c r="O33" s="11">
        <v>44413</v>
      </c>
      <c r="P33" t="s">
        <v>404</v>
      </c>
      <c r="Q33">
        <v>10205</v>
      </c>
      <c r="R33">
        <v>215</v>
      </c>
      <c r="S33">
        <v>43</v>
      </c>
      <c r="T33" t="s">
        <v>999</v>
      </c>
      <c r="U33">
        <v>2.8879999999999999</v>
      </c>
      <c r="V33">
        <v>0.4</v>
      </c>
      <c r="W33">
        <v>0</v>
      </c>
      <c r="X33">
        <v>0</v>
      </c>
      <c r="Y33">
        <v>0</v>
      </c>
      <c r="Z33">
        <v>3.2879999999999998</v>
      </c>
      <c r="AA33">
        <v>2</v>
      </c>
      <c r="AB33">
        <v>2.2599999999999998</v>
      </c>
      <c r="AC33">
        <v>5.64</v>
      </c>
      <c r="AD33">
        <v>18.559999999999999</v>
      </c>
      <c r="AE33">
        <v>2.2599999999999998</v>
      </c>
      <c r="AI33">
        <v>0</v>
      </c>
      <c r="AJ33">
        <v>0</v>
      </c>
      <c r="AK33">
        <v>0</v>
      </c>
      <c r="AL33">
        <v>0</v>
      </c>
    </row>
    <row r="34" spans="2:38" x14ac:dyDescent="0.2">
      <c r="B34">
        <v>0</v>
      </c>
      <c r="C34">
        <v>4</v>
      </c>
      <c r="H34">
        <v>253</v>
      </c>
      <c r="I34">
        <v>597</v>
      </c>
      <c r="J34" t="s">
        <v>1055</v>
      </c>
      <c r="K34" t="s">
        <v>1056</v>
      </c>
      <c r="L34" t="s">
        <v>1002</v>
      </c>
      <c r="O34" t="s">
        <v>399</v>
      </c>
      <c r="U34">
        <v>2.8879999999999999</v>
      </c>
      <c r="V34">
        <v>0.4</v>
      </c>
      <c r="W34">
        <v>0</v>
      </c>
      <c r="X34">
        <v>0</v>
      </c>
      <c r="Y34">
        <v>0</v>
      </c>
      <c r="Z34">
        <v>3.2879999999999998</v>
      </c>
      <c r="AA34">
        <v>2</v>
      </c>
      <c r="AB34">
        <v>2.2599999999999998</v>
      </c>
      <c r="AC34">
        <v>5.64</v>
      </c>
      <c r="AD34">
        <v>18.559999999999999</v>
      </c>
      <c r="AE34">
        <v>2.2599999999999998</v>
      </c>
      <c r="AI34">
        <v>0</v>
      </c>
      <c r="AJ34">
        <v>0</v>
      </c>
      <c r="AK34">
        <v>0</v>
      </c>
      <c r="AL34">
        <v>0</v>
      </c>
    </row>
    <row r="35" spans="2:38" x14ac:dyDescent="0.2">
      <c r="B35">
        <v>10</v>
      </c>
      <c r="C35">
        <v>4</v>
      </c>
      <c r="D35" t="s">
        <v>273</v>
      </c>
      <c r="E35" t="s">
        <v>327</v>
      </c>
      <c r="F35" t="s">
        <v>316</v>
      </c>
      <c r="G35">
        <v>2</v>
      </c>
      <c r="H35">
        <v>133</v>
      </c>
      <c r="I35">
        <v>309</v>
      </c>
      <c r="J35" t="s">
        <v>1057</v>
      </c>
      <c r="K35" t="s">
        <v>1058</v>
      </c>
      <c r="L35" t="s">
        <v>1059</v>
      </c>
      <c r="M35">
        <v>44</v>
      </c>
      <c r="N35">
        <v>0</v>
      </c>
      <c r="O35" s="11">
        <v>44250</v>
      </c>
      <c r="P35" t="s">
        <v>1060</v>
      </c>
      <c r="Q35">
        <v>42228</v>
      </c>
      <c r="R35">
        <v>895</v>
      </c>
      <c r="S35">
        <v>179</v>
      </c>
      <c r="T35" t="s">
        <v>999</v>
      </c>
      <c r="U35">
        <v>2.8879999999999999</v>
      </c>
      <c r="V35">
        <v>0.60299999999999998</v>
      </c>
      <c r="W35">
        <v>0</v>
      </c>
      <c r="X35">
        <v>0</v>
      </c>
      <c r="Y35">
        <v>0</v>
      </c>
      <c r="Z35">
        <v>3.4910000000000001</v>
      </c>
      <c r="AA35">
        <v>3</v>
      </c>
      <c r="AB35">
        <v>2.59</v>
      </c>
      <c r="AC35">
        <v>5.88</v>
      </c>
      <c r="AD35">
        <v>20.52</v>
      </c>
      <c r="AE35">
        <v>3.54</v>
      </c>
      <c r="AI35">
        <v>0</v>
      </c>
      <c r="AJ35">
        <v>0</v>
      </c>
      <c r="AK35">
        <v>0</v>
      </c>
      <c r="AL35">
        <v>0</v>
      </c>
    </row>
    <row r="36" spans="2:38" x14ac:dyDescent="0.2">
      <c r="B36">
        <v>0</v>
      </c>
      <c r="C36">
        <v>4</v>
      </c>
      <c r="H36">
        <v>133</v>
      </c>
      <c r="I36">
        <v>310</v>
      </c>
      <c r="J36" t="s">
        <v>1061</v>
      </c>
      <c r="K36" t="s">
        <v>1027</v>
      </c>
      <c r="L36" t="s">
        <v>1028</v>
      </c>
      <c r="O36" t="s">
        <v>399</v>
      </c>
      <c r="U36">
        <v>2.8879999999999999</v>
      </c>
      <c r="V36">
        <v>0.60299999999999998</v>
      </c>
      <c r="W36">
        <v>0</v>
      </c>
      <c r="X36">
        <v>0</v>
      </c>
      <c r="Y36">
        <v>0</v>
      </c>
      <c r="Z36">
        <v>3.4910000000000001</v>
      </c>
      <c r="AA36">
        <v>3</v>
      </c>
      <c r="AB36">
        <v>2.59</v>
      </c>
      <c r="AC36">
        <v>5.88</v>
      </c>
      <c r="AD36">
        <v>20.52</v>
      </c>
      <c r="AE36">
        <v>3.54</v>
      </c>
      <c r="AI36">
        <v>0</v>
      </c>
      <c r="AJ36">
        <v>0</v>
      </c>
      <c r="AK36">
        <v>0</v>
      </c>
      <c r="AL36">
        <v>0</v>
      </c>
    </row>
    <row r="37" spans="2:38" x14ac:dyDescent="0.2">
      <c r="B37">
        <v>0</v>
      </c>
      <c r="C37">
        <v>4</v>
      </c>
      <c r="H37">
        <v>133</v>
      </c>
      <c r="I37">
        <v>311</v>
      </c>
      <c r="J37" t="s">
        <v>1062</v>
      </c>
      <c r="K37" t="s">
        <v>1056</v>
      </c>
      <c r="L37" t="s">
        <v>1002</v>
      </c>
      <c r="O37" t="s">
        <v>399</v>
      </c>
      <c r="U37">
        <v>2.8879999999999999</v>
      </c>
      <c r="V37">
        <v>0.60299999999999998</v>
      </c>
      <c r="W37">
        <v>0</v>
      </c>
      <c r="X37">
        <v>0</v>
      </c>
      <c r="Y37">
        <v>0</v>
      </c>
      <c r="Z37">
        <v>3.4910000000000001</v>
      </c>
      <c r="AA37">
        <v>3</v>
      </c>
      <c r="AB37">
        <v>2.59</v>
      </c>
      <c r="AC37">
        <v>5.88</v>
      </c>
      <c r="AD37">
        <v>20.52</v>
      </c>
      <c r="AE37">
        <v>3.54</v>
      </c>
      <c r="AI37">
        <v>0</v>
      </c>
      <c r="AJ37">
        <v>0</v>
      </c>
      <c r="AK37">
        <v>0</v>
      </c>
      <c r="AL37">
        <v>0</v>
      </c>
    </row>
    <row r="38" spans="2:38" x14ac:dyDescent="0.2">
      <c r="B38">
        <v>0</v>
      </c>
      <c r="C38">
        <v>4</v>
      </c>
      <c r="H38">
        <v>133</v>
      </c>
      <c r="I38">
        <v>312</v>
      </c>
      <c r="J38" t="s">
        <v>1063</v>
      </c>
      <c r="K38" t="s">
        <v>1030</v>
      </c>
      <c r="L38" t="s">
        <v>998</v>
      </c>
      <c r="O38" t="s">
        <v>399</v>
      </c>
      <c r="U38">
        <v>2.8879999999999999</v>
      </c>
      <c r="V38">
        <v>0.60299999999999998</v>
      </c>
      <c r="W38">
        <v>0</v>
      </c>
      <c r="X38">
        <v>0</v>
      </c>
      <c r="Y38">
        <v>0</v>
      </c>
      <c r="Z38">
        <v>3.4910000000000001</v>
      </c>
      <c r="AA38">
        <v>3</v>
      </c>
      <c r="AB38">
        <v>2.59</v>
      </c>
      <c r="AC38">
        <v>5.88</v>
      </c>
      <c r="AD38">
        <v>20.52</v>
      </c>
      <c r="AE38">
        <v>3.54</v>
      </c>
      <c r="AI38">
        <v>0</v>
      </c>
      <c r="AJ38">
        <v>0</v>
      </c>
      <c r="AK38">
        <v>0</v>
      </c>
      <c r="AL38">
        <v>0</v>
      </c>
    </row>
    <row r="39" spans="2:38" x14ac:dyDescent="0.2">
      <c r="B39">
        <v>10</v>
      </c>
      <c r="C39">
        <v>5</v>
      </c>
      <c r="D39" t="s">
        <v>105</v>
      </c>
      <c r="E39" t="s">
        <v>324</v>
      </c>
      <c r="F39" t="s">
        <v>132</v>
      </c>
      <c r="G39">
        <v>7</v>
      </c>
      <c r="H39">
        <v>267</v>
      </c>
      <c r="I39">
        <v>628</v>
      </c>
      <c r="J39" t="s">
        <v>1064</v>
      </c>
      <c r="K39" t="s">
        <v>1065</v>
      </c>
      <c r="L39" t="s">
        <v>1066</v>
      </c>
      <c r="M39">
        <v>48</v>
      </c>
      <c r="N39">
        <v>0</v>
      </c>
      <c r="O39" s="11">
        <v>44420</v>
      </c>
      <c r="P39" t="s">
        <v>583</v>
      </c>
      <c r="Q39">
        <v>66500</v>
      </c>
      <c r="R39">
        <v>1410</v>
      </c>
      <c r="S39">
        <v>282</v>
      </c>
      <c r="T39" t="s">
        <v>1033</v>
      </c>
      <c r="U39">
        <v>1.6942999999999999</v>
      </c>
      <c r="V39">
        <v>0.35</v>
      </c>
      <c r="W39">
        <v>0</v>
      </c>
      <c r="X39">
        <v>0</v>
      </c>
      <c r="Y39">
        <v>0</v>
      </c>
      <c r="Z39">
        <v>2.0442999999999998</v>
      </c>
      <c r="AA39">
        <v>18</v>
      </c>
      <c r="AB39">
        <v>11.75</v>
      </c>
      <c r="AC39">
        <v>24.47</v>
      </c>
      <c r="AD39">
        <v>69.09</v>
      </c>
      <c r="AE39">
        <v>27.63</v>
      </c>
      <c r="AF39" t="s">
        <v>1067</v>
      </c>
      <c r="AG39" t="s">
        <v>1068</v>
      </c>
      <c r="AI39">
        <v>18</v>
      </c>
      <c r="AJ39">
        <v>11.75</v>
      </c>
      <c r="AK39">
        <v>18</v>
      </c>
      <c r="AL39">
        <v>11.75</v>
      </c>
    </row>
    <row r="40" spans="2:38" x14ac:dyDescent="0.2">
      <c r="B40">
        <v>0</v>
      </c>
      <c r="C40">
        <v>5</v>
      </c>
      <c r="H40">
        <v>267</v>
      </c>
      <c r="I40">
        <v>629</v>
      </c>
      <c r="J40" t="s">
        <v>1069</v>
      </c>
      <c r="K40" t="s">
        <v>1037</v>
      </c>
      <c r="L40" t="s">
        <v>998</v>
      </c>
      <c r="O40" t="s">
        <v>399</v>
      </c>
      <c r="U40">
        <v>1.6942999999999999</v>
      </c>
      <c r="V40">
        <v>0.35</v>
      </c>
      <c r="W40">
        <v>0</v>
      </c>
      <c r="X40">
        <v>0</v>
      </c>
      <c r="Y40">
        <v>0</v>
      </c>
      <c r="Z40">
        <v>2.0442999999999998</v>
      </c>
      <c r="AA40">
        <v>18</v>
      </c>
      <c r="AB40">
        <v>11.75</v>
      </c>
      <c r="AC40">
        <v>24.47</v>
      </c>
      <c r="AD40">
        <v>69.09</v>
      </c>
      <c r="AE40">
        <v>27.63</v>
      </c>
      <c r="AI40">
        <v>18</v>
      </c>
      <c r="AJ40">
        <v>11.75</v>
      </c>
      <c r="AK40">
        <v>18</v>
      </c>
      <c r="AL40">
        <v>11.75</v>
      </c>
    </row>
    <row r="41" spans="2:38" x14ac:dyDescent="0.2">
      <c r="B41">
        <v>10</v>
      </c>
      <c r="C41">
        <v>5</v>
      </c>
      <c r="D41" t="s">
        <v>105</v>
      </c>
      <c r="E41" t="s">
        <v>324</v>
      </c>
      <c r="F41" t="s">
        <v>130</v>
      </c>
      <c r="G41">
        <v>9</v>
      </c>
      <c r="H41">
        <v>266</v>
      </c>
      <c r="I41">
        <v>627</v>
      </c>
      <c r="J41" t="s">
        <v>1070</v>
      </c>
      <c r="K41" t="s">
        <v>1071</v>
      </c>
      <c r="L41" t="s">
        <v>1072</v>
      </c>
      <c r="M41">
        <v>43.7</v>
      </c>
      <c r="N41">
        <v>0</v>
      </c>
      <c r="O41" s="11">
        <v>44419</v>
      </c>
      <c r="P41" t="s">
        <v>583</v>
      </c>
      <c r="Q41">
        <v>28500</v>
      </c>
      <c r="R41">
        <v>605</v>
      </c>
      <c r="S41">
        <v>121</v>
      </c>
      <c r="T41" t="s">
        <v>989</v>
      </c>
      <c r="U41">
        <v>2.13</v>
      </c>
      <c r="V41">
        <v>0.35</v>
      </c>
      <c r="W41">
        <v>0</v>
      </c>
      <c r="X41">
        <v>0</v>
      </c>
      <c r="Y41">
        <v>0</v>
      </c>
      <c r="Z41">
        <v>2.48</v>
      </c>
      <c r="AA41">
        <v>26</v>
      </c>
      <c r="AB41">
        <v>16.059999999999999</v>
      </c>
      <c r="AC41">
        <v>36.75</v>
      </c>
      <c r="AD41">
        <v>118.14</v>
      </c>
      <c r="AE41">
        <v>39.86</v>
      </c>
      <c r="AF41" t="s">
        <v>1073</v>
      </c>
      <c r="AG41" t="s">
        <v>1068</v>
      </c>
      <c r="AI41">
        <v>26</v>
      </c>
      <c r="AJ41">
        <v>16.059999999999999</v>
      </c>
      <c r="AK41">
        <v>26</v>
      </c>
      <c r="AL41">
        <v>16.059999999999999</v>
      </c>
    </row>
    <row r="42" spans="2:38" x14ac:dyDescent="0.2">
      <c r="B42">
        <v>0</v>
      </c>
      <c r="C42">
        <v>5</v>
      </c>
      <c r="H42">
        <v>266</v>
      </c>
      <c r="I42">
        <v>626</v>
      </c>
      <c r="J42" t="s">
        <v>1074</v>
      </c>
      <c r="K42" t="s">
        <v>1075</v>
      </c>
      <c r="L42" t="s">
        <v>998</v>
      </c>
      <c r="O42" t="s">
        <v>399</v>
      </c>
      <c r="U42">
        <v>2.13</v>
      </c>
      <c r="V42">
        <v>0.35</v>
      </c>
      <c r="W42">
        <v>0</v>
      </c>
      <c r="X42">
        <v>0</v>
      </c>
      <c r="Y42">
        <v>0</v>
      </c>
      <c r="Z42">
        <v>2.48</v>
      </c>
      <c r="AA42">
        <v>26</v>
      </c>
      <c r="AB42">
        <v>16.059999999999999</v>
      </c>
      <c r="AC42">
        <v>36.75</v>
      </c>
      <c r="AD42">
        <v>118.14</v>
      </c>
      <c r="AE42">
        <v>39.86</v>
      </c>
      <c r="AI42">
        <v>26</v>
      </c>
      <c r="AJ42">
        <v>16.059999999999999</v>
      </c>
      <c r="AK42">
        <v>26</v>
      </c>
      <c r="AL42">
        <v>16.059999999999999</v>
      </c>
    </row>
    <row r="43" spans="2:38" x14ac:dyDescent="0.2">
      <c r="B43">
        <v>10</v>
      </c>
      <c r="C43">
        <v>5</v>
      </c>
      <c r="D43" t="s">
        <v>105</v>
      </c>
      <c r="E43" t="s">
        <v>324</v>
      </c>
      <c r="F43" t="s">
        <v>128</v>
      </c>
      <c r="G43">
        <v>7</v>
      </c>
      <c r="H43">
        <v>214</v>
      </c>
      <c r="I43">
        <v>504</v>
      </c>
      <c r="J43" t="s">
        <v>1076</v>
      </c>
      <c r="K43" t="s">
        <v>1077</v>
      </c>
      <c r="L43" t="s">
        <v>1002</v>
      </c>
      <c r="M43">
        <v>43.7</v>
      </c>
      <c r="N43">
        <v>0</v>
      </c>
      <c r="O43" s="11">
        <v>44376</v>
      </c>
      <c r="P43" t="s">
        <v>589</v>
      </c>
      <c r="Q43">
        <v>4750</v>
      </c>
      <c r="R43">
        <v>100</v>
      </c>
      <c r="S43">
        <v>20</v>
      </c>
      <c r="T43" t="s">
        <v>989</v>
      </c>
      <c r="U43">
        <v>2.13</v>
      </c>
      <c r="V43">
        <v>0.35</v>
      </c>
      <c r="W43">
        <v>0</v>
      </c>
      <c r="X43">
        <v>0</v>
      </c>
      <c r="Y43">
        <v>0</v>
      </c>
      <c r="Z43">
        <v>2.48</v>
      </c>
      <c r="AA43">
        <v>90</v>
      </c>
      <c r="AB43">
        <v>48.6</v>
      </c>
      <c r="AC43">
        <v>111.21</v>
      </c>
      <c r="AD43">
        <v>465.62</v>
      </c>
      <c r="AE43">
        <v>228.75</v>
      </c>
      <c r="AF43" t="s">
        <v>1078</v>
      </c>
      <c r="AG43" t="s">
        <v>1079</v>
      </c>
      <c r="AH43" t="s">
        <v>1080</v>
      </c>
      <c r="AI43">
        <v>90</v>
      </c>
      <c r="AJ43">
        <v>48.6</v>
      </c>
      <c r="AK43">
        <v>50</v>
      </c>
      <c r="AL43">
        <v>31.35</v>
      </c>
    </row>
    <row r="44" spans="2:38" x14ac:dyDescent="0.2">
      <c r="B44">
        <v>0</v>
      </c>
      <c r="C44">
        <v>5</v>
      </c>
      <c r="H44">
        <v>214</v>
      </c>
      <c r="I44">
        <v>505</v>
      </c>
      <c r="J44" t="s">
        <v>1074</v>
      </c>
      <c r="K44" t="s">
        <v>1075</v>
      </c>
      <c r="L44" t="s">
        <v>998</v>
      </c>
      <c r="O44" t="s">
        <v>399</v>
      </c>
      <c r="U44">
        <v>2.13</v>
      </c>
      <c r="V44">
        <v>0.35</v>
      </c>
      <c r="W44">
        <v>0</v>
      </c>
      <c r="X44">
        <v>0</v>
      </c>
      <c r="Y44">
        <v>0</v>
      </c>
      <c r="Z44">
        <v>2.48</v>
      </c>
      <c r="AA44">
        <v>90</v>
      </c>
      <c r="AB44">
        <v>48.6</v>
      </c>
      <c r="AC44">
        <v>111.21</v>
      </c>
      <c r="AD44">
        <v>465.62</v>
      </c>
      <c r="AE44">
        <v>228.75</v>
      </c>
      <c r="AI44">
        <v>90</v>
      </c>
      <c r="AJ44">
        <v>48.6</v>
      </c>
      <c r="AK44">
        <v>50</v>
      </c>
      <c r="AL44">
        <v>31.35</v>
      </c>
    </row>
    <row r="45" spans="2:38" x14ac:dyDescent="0.2">
      <c r="B45">
        <v>0</v>
      </c>
      <c r="C45">
        <v>5</v>
      </c>
      <c r="H45">
        <v>214</v>
      </c>
      <c r="I45">
        <v>503</v>
      </c>
      <c r="J45" t="s">
        <v>1070</v>
      </c>
      <c r="K45" t="s">
        <v>1071</v>
      </c>
      <c r="L45" t="s">
        <v>1072</v>
      </c>
      <c r="O45" t="s">
        <v>399</v>
      </c>
      <c r="U45">
        <v>2.13</v>
      </c>
      <c r="V45">
        <v>0.35</v>
      </c>
      <c r="W45">
        <v>0</v>
      </c>
      <c r="X45">
        <v>0</v>
      </c>
      <c r="Y45">
        <v>0</v>
      </c>
      <c r="Z45">
        <v>2.48</v>
      </c>
      <c r="AA45">
        <v>90</v>
      </c>
      <c r="AB45">
        <v>48.6</v>
      </c>
      <c r="AC45">
        <v>111.21</v>
      </c>
      <c r="AD45">
        <v>465.62</v>
      </c>
      <c r="AE45">
        <v>228.75</v>
      </c>
      <c r="AI45">
        <v>90</v>
      </c>
      <c r="AJ45">
        <v>48.6</v>
      </c>
      <c r="AK45">
        <v>50</v>
      </c>
      <c r="AL45">
        <v>31.35</v>
      </c>
    </row>
    <row r="46" spans="2:38" x14ac:dyDescent="0.2">
      <c r="B46">
        <v>10</v>
      </c>
      <c r="C46">
        <v>5</v>
      </c>
      <c r="D46" t="s">
        <v>105</v>
      </c>
      <c r="E46" t="s">
        <v>324</v>
      </c>
      <c r="F46" t="s">
        <v>126</v>
      </c>
      <c r="G46">
        <v>8</v>
      </c>
      <c r="H46">
        <v>222</v>
      </c>
      <c r="I46">
        <v>520</v>
      </c>
      <c r="J46" t="s">
        <v>1064</v>
      </c>
      <c r="K46" t="s">
        <v>1065</v>
      </c>
      <c r="L46" t="s">
        <v>1066</v>
      </c>
      <c r="M46">
        <v>45.2</v>
      </c>
      <c r="N46">
        <v>0</v>
      </c>
      <c r="O46" s="11">
        <v>44385</v>
      </c>
      <c r="P46" t="s">
        <v>592</v>
      </c>
      <c r="Q46">
        <v>114000</v>
      </c>
      <c r="R46">
        <v>2425</v>
      </c>
      <c r="S46">
        <v>485</v>
      </c>
      <c r="T46" t="s">
        <v>1033</v>
      </c>
      <c r="U46">
        <v>1.6942999999999999</v>
      </c>
      <c r="V46">
        <v>0.35</v>
      </c>
      <c r="W46">
        <v>0</v>
      </c>
      <c r="X46">
        <v>0</v>
      </c>
      <c r="Y46">
        <v>0</v>
      </c>
      <c r="Z46">
        <v>2.0442999999999998</v>
      </c>
      <c r="AA46">
        <v>20</v>
      </c>
      <c r="AB46">
        <v>13.1</v>
      </c>
      <c r="AC46">
        <v>28.97</v>
      </c>
      <c r="AD46">
        <v>72.849999999999994</v>
      </c>
      <c r="AE46">
        <v>23.76</v>
      </c>
      <c r="AF46" t="s">
        <v>1081</v>
      </c>
      <c r="AG46" t="s">
        <v>1068</v>
      </c>
      <c r="AI46">
        <v>20</v>
      </c>
      <c r="AJ46">
        <v>13.1</v>
      </c>
      <c r="AK46">
        <v>0</v>
      </c>
      <c r="AL46">
        <v>0</v>
      </c>
    </row>
    <row r="47" spans="2:38" x14ac:dyDescent="0.2">
      <c r="B47">
        <v>0</v>
      </c>
      <c r="C47">
        <v>5</v>
      </c>
      <c r="H47">
        <v>222</v>
      </c>
      <c r="I47">
        <v>519</v>
      </c>
      <c r="J47" t="s">
        <v>1069</v>
      </c>
      <c r="K47" t="s">
        <v>1037</v>
      </c>
      <c r="L47" t="s">
        <v>998</v>
      </c>
      <c r="O47" t="s">
        <v>399</v>
      </c>
      <c r="U47">
        <v>1.6942999999999999</v>
      </c>
      <c r="V47">
        <v>0.35</v>
      </c>
      <c r="W47">
        <v>0</v>
      </c>
      <c r="X47">
        <v>0</v>
      </c>
      <c r="Y47">
        <v>0</v>
      </c>
      <c r="Z47">
        <v>2.0442999999999998</v>
      </c>
      <c r="AA47">
        <v>20</v>
      </c>
      <c r="AB47">
        <v>13.1</v>
      </c>
      <c r="AC47">
        <v>28.97</v>
      </c>
      <c r="AD47">
        <v>72.849999999999994</v>
      </c>
      <c r="AE47">
        <v>23.76</v>
      </c>
      <c r="AI47">
        <v>20</v>
      </c>
      <c r="AJ47">
        <v>13.1</v>
      </c>
      <c r="AK47">
        <v>0</v>
      </c>
      <c r="AL47">
        <v>0</v>
      </c>
    </row>
    <row r="48" spans="2:38" x14ac:dyDescent="0.2">
      <c r="B48">
        <v>10</v>
      </c>
      <c r="C48">
        <v>5</v>
      </c>
      <c r="D48" t="s">
        <v>105</v>
      </c>
      <c r="E48" t="s">
        <v>324</v>
      </c>
      <c r="F48" t="s">
        <v>124</v>
      </c>
      <c r="G48">
        <v>8</v>
      </c>
      <c r="H48">
        <v>264</v>
      </c>
      <c r="I48">
        <v>622</v>
      </c>
      <c r="J48" t="s">
        <v>1082</v>
      </c>
      <c r="K48" t="s">
        <v>1030</v>
      </c>
      <c r="L48" t="s">
        <v>998</v>
      </c>
      <c r="M48">
        <v>42.3</v>
      </c>
      <c r="N48">
        <v>0</v>
      </c>
      <c r="O48" s="11">
        <v>44419</v>
      </c>
      <c r="P48" t="s">
        <v>595</v>
      </c>
      <c r="Q48">
        <v>23750</v>
      </c>
      <c r="R48">
        <v>505</v>
      </c>
      <c r="S48">
        <v>101</v>
      </c>
      <c r="T48" t="s">
        <v>999</v>
      </c>
      <c r="U48">
        <v>2.8879999999999999</v>
      </c>
      <c r="V48">
        <v>0.35</v>
      </c>
      <c r="W48">
        <v>0</v>
      </c>
      <c r="X48">
        <v>0</v>
      </c>
      <c r="Y48">
        <v>0</v>
      </c>
      <c r="Z48">
        <v>3.238</v>
      </c>
      <c r="AA48">
        <v>108</v>
      </c>
      <c r="AB48">
        <v>58.26</v>
      </c>
      <c r="AC48">
        <v>137.72999999999999</v>
      </c>
      <c r="AD48">
        <v>674.45</v>
      </c>
      <c r="AE48">
        <v>276.7</v>
      </c>
      <c r="AF48" t="s">
        <v>1083</v>
      </c>
      <c r="AG48" t="s">
        <v>1084</v>
      </c>
      <c r="AH48" t="s">
        <v>1080</v>
      </c>
      <c r="AI48">
        <v>108</v>
      </c>
      <c r="AJ48">
        <v>58.26</v>
      </c>
      <c r="AK48">
        <v>60</v>
      </c>
      <c r="AL48">
        <v>37.630000000000003</v>
      </c>
    </row>
    <row r="49" spans="2:38" x14ac:dyDescent="0.2">
      <c r="B49">
        <v>0</v>
      </c>
      <c r="C49">
        <v>5</v>
      </c>
      <c r="H49">
        <v>264</v>
      </c>
      <c r="I49">
        <v>623</v>
      </c>
      <c r="J49" t="s">
        <v>1085</v>
      </c>
      <c r="K49" t="s">
        <v>1056</v>
      </c>
      <c r="L49" t="s">
        <v>1002</v>
      </c>
      <c r="O49" t="s">
        <v>399</v>
      </c>
      <c r="U49">
        <v>2.8879999999999999</v>
      </c>
      <c r="V49">
        <v>0.35</v>
      </c>
      <c r="W49">
        <v>0</v>
      </c>
      <c r="X49">
        <v>0</v>
      </c>
      <c r="Y49">
        <v>0</v>
      </c>
      <c r="Z49">
        <v>3.238</v>
      </c>
      <c r="AA49">
        <v>108</v>
      </c>
      <c r="AB49">
        <v>58.26</v>
      </c>
      <c r="AC49">
        <v>137.72999999999999</v>
      </c>
      <c r="AD49">
        <v>674.45</v>
      </c>
      <c r="AE49">
        <v>276.7</v>
      </c>
      <c r="AI49">
        <v>108</v>
      </c>
      <c r="AJ49">
        <v>58.26</v>
      </c>
      <c r="AK49">
        <v>60</v>
      </c>
      <c r="AL49">
        <v>37.630000000000003</v>
      </c>
    </row>
    <row r="50" spans="2:38" x14ac:dyDescent="0.2">
      <c r="B50">
        <v>10</v>
      </c>
      <c r="C50">
        <v>5</v>
      </c>
      <c r="D50" t="s">
        <v>105</v>
      </c>
      <c r="E50" t="s">
        <v>324</v>
      </c>
      <c r="F50" t="s">
        <v>122</v>
      </c>
      <c r="G50">
        <v>2</v>
      </c>
      <c r="H50">
        <v>246</v>
      </c>
      <c r="I50">
        <v>579</v>
      </c>
      <c r="J50" t="s">
        <v>1074</v>
      </c>
      <c r="K50" t="s">
        <v>1075</v>
      </c>
      <c r="L50" t="s">
        <v>998</v>
      </c>
      <c r="M50">
        <v>43.7</v>
      </c>
      <c r="N50">
        <v>0</v>
      </c>
      <c r="O50" s="11">
        <v>44407</v>
      </c>
      <c r="P50">
        <v>1410</v>
      </c>
      <c r="Q50">
        <v>35625</v>
      </c>
      <c r="R50">
        <v>755</v>
      </c>
      <c r="S50">
        <v>151</v>
      </c>
      <c r="T50" t="s">
        <v>989</v>
      </c>
      <c r="U50">
        <v>2.13</v>
      </c>
      <c r="V50">
        <v>0.35</v>
      </c>
      <c r="W50">
        <v>0</v>
      </c>
      <c r="X50">
        <v>0</v>
      </c>
      <c r="Y50">
        <v>0</v>
      </c>
      <c r="Z50">
        <v>2.48</v>
      </c>
      <c r="AA50">
        <v>6</v>
      </c>
      <c r="AB50">
        <v>3.55</v>
      </c>
      <c r="AC50">
        <v>8.1199999999999992</v>
      </c>
      <c r="AD50">
        <v>25.51</v>
      </c>
      <c r="AE50">
        <v>8.2100000000000009</v>
      </c>
      <c r="AF50" t="s">
        <v>1086</v>
      </c>
      <c r="AG50" t="s">
        <v>1068</v>
      </c>
      <c r="AI50">
        <v>6</v>
      </c>
      <c r="AJ50">
        <v>3.55</v>
      </c>
      <c r="AK50">
        <v>6</v>
      </c>
      <c r="AL50">
        <v>3.55</v>
      </c>
    </row>
    <row r="51" spans="2:38" x14ac:dyDescent="0.2">
      <c r="B51">
        <v>10</v>
      </c>
      <c r="C51">
        <v>5</v>
      </c>
      <c r="D51" t="s">
        <v>105</v>
      </c>
      <c r="E51" t="s">
        <v>324</v>
      </c>
      <c r="F51" t="s">
        <v>120</v>
      </c>
      <c r="G51">
        <v>9</v>
      </c>
      <c r="H51">
        <v>265</v>
      </c>
      <c r="I51">
        <v>625</v>
      </c>
      <c r="J51" t="s">
        <v>1074</v>
      </c>
      <c r="K51" t="s">
        <v>1075</v>
      </c>
      <c r="L51" t="s">
        <v>998</v>
      </c>
      <c r="M51">
        <v>43.7</v>
      </c>
      <c r="N51">
        <v>0</v>
      </c>
      <c r="O51" s="11">
        <v>44419</v>
      </c>
      <c r="P51" t="s">
        <v>583</v>
      </c>
      <c r="Q51">
        <v>40375</v>
      </c>
      <c r="R51">
        <v>855</v>
      </c>
      <c r="S51">
        <v>171</v>
      </c>
      <c r="T51" t="s">
        <v>989</v>
      </c>
      <c r="U51">
        <v>2.13</v>
      </c>
      <c r="V51">
        <v>0.35</v>
      </c>
      <c r="W51">
        <v>0</v>
      </c>
      <c r="X51">
        <v>0</v>
      </c>
      <c r="Y51">
        <v>0</v>
      </c>
      <c r="Z51">
        <v>2.48</v>
      </c>
      <c r="AA51">
        <v>26</v>
      </c>
      <c r="AB51">
        <v>16.07</v>
      </c>
      <c r="AC51">
        <v>36.78</v>
      </c>
      <c r="AD51">
        <v>118.23</v>
      </c>
      <c r="AE51">
        <v>39.89</v>
      </c>
      <c r="AF51" t="s">
        <v>1087</v>
      </c>
      <c r="AG51" t="s">
        <v>1068</v>
      </c>
      <c r="AI51">
        <v>26</v>
      </c>
      <c r="AJ51">
        <v>16.07</v>
      </c>
      <c r="AK51">
        <v>26</v>
      </c>
      <c r="AL51">
        <v>16.07</v>
      </c>
    </row>
    <row r="52" spans="2:38" x14ac:dyDescent="0.2">
      <c r="B52">
        <v>0</v>
      </c>
      <c r="C52">
        <v>5</v>
      </c>
      <c r="H52">
        <v>265</v>
      </c>
      <c r="I52">
        <v>624</v>
      </c>
      <c r="J52" t="s">
        <v>1070</v>
      </c>
      <c r="K52" t="s">
        <v>1071</v>
      </c>
      <c r="L52" t="s">
        <v>1072</v>
      </c>
      <c r="O52" t="s">
        <v>399</v>
      </c>
      <c r="U52">
        <v>2.13</v>
      </c>
      <c r="V52">
        <v>0.35</v>
      </c>
      <c r="W52">
        <v>0</v>
      </c>
      <c r="X52">
        <v>0</v>
      </c>
      <c r="Y52">
        <v>0</v>
      </c>
      <c r="Z52">
        <v>2.48</v>
      </c>
      <c r="AA52">
        <v>26</v>
      </c>
      <c r="AB52">
        <v>16.07</v>
      </c>
      <c r="AC52">
        <v>36.78</v>
      </c>
      <c r="AD52">
        <v>118.23</v>
      </c>
      <c r="AE52">
        <v>39.89</v>
      </c>
      <c r="AI52">
        <v>26</v>
      </c>
      <c r="AJ52">
        <v>16.07</v>
      </c>
      <c r="AK52">
        <v>26</v>
      </c>
      <c r="AL52">
        <v>16.07</v>
      </c>
    </row>
    <row r="53" spans="2:38" x14ac:dyDescent="0.2">
      <c r="B53">
        <v>10</v>
      </c>
      <c r="C53">
        <v>5</v>
      </c>
      <c r="D53" t="s">
        <v>105</v>
      </c>
      <c r="E53" t="s">
        <v>324</v>
      </c>
      <c r="F53" t="s">
        <v>118</v>
      </c>
      <c r="G53">
        <v>13</v>
      </c>
      <c r="H53">
        <v>278</v>
      </c>
      <c r="I53">
        <v>656</v>
      </c>
      <c r="J53" t="s">
        <v>1069</v>
      </c>
      <c r="K53" t="s">
        <v>1037</v>
      </c>
      <c r="L53" t="s">
        <v>998</v>
      </c>
      <c r="M53">
        <v>48</v>
      </c>
      <c r="N53">
        <v>0</v>
      </c>
      <c r="O53" s="11">
        <v>44427</v>
      </c>
      <c r="P53" t="s">
        <v>603</v>
      </c>
      <c r="Q53">
        <v>61750</v>
      </c>
      <c r="R53">
        <v>1310</v>
      </c>
      <c r="S53">
        <v>262</v>
      </c>
      <c r="T53" t="s">
        <v>1033</v>
      </c>
      <c r="U53">
        <v>1.694</v>
      </c>
      <c r="V53">
        <v>0.35</v>
      </c>
      <c r="W53">
        <v>0</v>
      </c>
      <c r="X53">
        <v>0</v>
      </c>
      <c r="Y53">
        <v>0</v>
      </c>
      <c r="Z53">
        <v>2.044</v>
      </c>
      <c r="AA53">
        <v>36</v>
      </c>
      <c r="AB53">
        <v>22.74</v>
      </c>
      <c r="AC53">
        <v>47.38</v>
      </c>
      <c r="AD53">
        <v>133.49</v>
      </c>
      <c r="AE53">
        <v>53.23</v>
      </c>
      <c r="AF53" t="s">
        <v>1088</v>
      </c>
      <c r="AG53" t="s">
        <v>1068</v>
      </c>
      <c r="AI53">
        <v>36</v>
      </c>
      <c r="AJ53">
        <v>22.74</v>
      </c>
      <c r="AK53">
        <v>22</v>
      </c>
      <c r="AL53">
        <v>15.19</v>
      </c>
    </row>
    <row r="54" spans="2:38" x14ac:dyDescent="0.2">
      <c r="B54">
        <v>0</v>
      </c>
      <c r="C54">
        <v>5</v>
      </c>
      <c r="H54">
        <v>278</v>
      </c>
      <c r="I54">
        <v>655</v>
      </c>
      <c r="J54" t="s">
        <v>1064</v>
      </c>
      <c r="K54" t="s">
        <v>1065</v>
      </c>
      <c r="L54" t="s">
        <v>1066</v>
      </c>
      <c r="O54" t="s">
        <v>399</v>
      </c>
      <c r="U54">
        <v>1.694</v>
      </c>
      <c r="V54">
        <v>0.35</v>
      </c>
      <c r="W54">
        <v>0</v>
      </c>
      <c r="X54">
        <v>0</v>
      </c>
      <c r="Y54">
        <v>0</v>
      </c>
      <c r="Z54">
        <v>2.044</v>
      </c>
      <c r="AA54">
        <v>36</v>
      </c>
      <c r="AB54">
        <v>22.74</v>
      </c>
      <c r="AC54">
        <v>47.38</v>
      </c>
      <c r="AD54">
        <v>133.49</v>
      </c>
      <c r="AE54">
        <v>53.23</v>
      </c>
      <c r="AI54">
        <v>36</v>
      </c>
      <c r="AJ54">
        <v>22.74</v>
      </c>
      <c r="AK54">
        <v>22</v>
      </c>
      <c r="AL54">
        <v>15.19</v>
      </c>
    </row>
    <row r="55" spans="2:38" x14ac:dyDescent="0.2">
      <c r="B55">
        <v>0</v>
      </c>
      <c r="C55">
        <v>5</v>
      </c>
      <c r="H55">
        <v>278</v>
      </c>
      <c r="I55">
        <v>658</v>
      </c>
      <c r="J55" t="s">
        <v>1089</v>
      </c>
      <c r="K55" t="s">
        <v>1090</v>
      </c>
      <c r="L55" t="s">
        <v>1091</v>
      </c>
      <c r="O55" t="s">
        <v>399</v>
      </c>
      <c r="U55">
        <v>1.694</v>
      </c>
      <c r="V55">
        <v>0.35</v>
      </c>
      <c r="W55">
        <v>0</v>
      </c>
      <c r="X55">
        <v>0</v>
      </c>
      <c r="Y55">
        <v>0</v>
      </c>
      <c r="Z55">
        <v>2.044</v>
      </c>
      <c r="AA55">
        <v>3</v>
      </c>
      <c r="AB55">
        <v>2.16</v>
      </c>
      <c r="AC55">
        <v>4.5</v>
      </c>
      <c r="AD55">
        <v>12.73</v>
      </c>
      <c r="AE55">
        <v>5.0999999999999996</v>
      </c>
      <c r="AI55">
        <v>3</v>
      </c>
      <c r="AJ55">
        <v>2.16</v>
      </c>
      <c r="AK55">
        <v>0</v>
      </c>
      <c r="AL55">
        <v>0</v>
      </c>
    </row>
    <row r="56" spans="2:38" x14ac:dyDescent="0.2">
      <c r="B56">
        <v>0</v>
      </c>
      <c r="C56">
        <v>5</v>
      </c>
      <c r="H56">
        <v>278</v>
      </c>
      <c r="I56">
        <v>657</v>
      </c>
      <c r="J56" t="s">
        <v>1092</v>
      </c>
      <c r="K56" t="s">
        <v>1093</v>
      </c>
      <c r="L56" t="s">
        <v>998</v>
      </c>
      <c r="O56" t="s">
        <v>399</v>
      </c>
      <c r="U56">
        <v>1.694</v>
      </c>
      <c r="V56">
        <v>0.35</v>
      </c>
      <c r="W56">
        <v>0</v>
      </c>
      <c r="X56">
        <v>0</v>
      </c>
      <c r="Y56">
        <v>0</v>
      </c>
      <c r="Z56">
        <v>2.044</v>
      </c>
      <c r="AA56">
        <v>3</v>
      </c>
      <c r="AB56">
        <v>2.16</v>
      </c>
      <c r="AC56">
        <v>4.5</v>
      </c>
      <c r="AD56">
        <v>12.73</v>
      </c>
      <c r="AE56">
        <v>5.0999999999999996</v>
      </c>
      <c r="AI56">
        <v>3</v>
      </c>
      <c r="AJ56">
        <v>2.16</v>
      </c>
      <c r="AK56">
        <v>0</v>
      </c>
      <c r="AL56">
        <v>0</v>
      </c>
    </row>
    <row r="57" spans="2:38" x14ac:dyDescent="0.2">
      <c r="B57">
        <v>10</v>
      </c>
      <c r="C57">
        <v>5</v>
      </c>
      <c r="D57" t="s">
        <v>105</v>
      </c>
      <c r="E57" t="s">
        <v>324</v>
      </c>
      <c r="F57" t="s">
        <v>116</v>
      </c>
      <c r="G57">
        <v>9</v>
      </c>
      <c r="H57">
        <v>224</v>
      </c>
      <c r="I57">
        <v>524</v>
      </c>
      <c r="J57" t="s">
        <v>1074</v>
      </c>
      <c r="K57" t="s">
        <v>1075</v>
      </c>
      <c r="L57" t="s">
        <v>998</v>
      </c>
      <c r="M57">
        <v>43.7</v>
      </c>
      <c r="N57">
        <v>0</v>
      </c>
      <c r="O57" s="11">
        <v>44385</v>
      </c>
      <c r="P57">
        <v>1752</v>
      </c>
      <c r="Q57">
        <v>24581</v>
      </c>
      <c r="R57">
        <v>520</v>
      </c>
      <c r="S57">
        <v>104</v>
      </c>
      <c r="T57" t="s">
        <v>989</v>
      </c>
      <c r="U57">
        <v>2.13</v>
      </c>
      <c r="V57">
        <v>0.35</v>
      </c>
      <c r="W57">
        <v>0</v>
      </c>
      <c r="X57">
        <v>0</v>
      </c>
      <c r="Y57">
        <v>0</v>
      </c>
      <c r="Z57">
        <v>2.48</v>
      </c>
      <c r="AA57">
        <v>64</v>
      </c>
      <c r="AB57">
        <v>38.03</v>
      </c>
      <c r="AC57">
        <v>87.03</v>
      </c>
      <c r="AD57">
        <v>328.97</v>
      </c>
      <c r="AE57">
        <v>143.6</v>
      </c>
      <c r="AF57" t="s">
        <v>1094</v>
      </c>
      <c r="AG57" t="s">
        <v>1024</v>
      </c>
      <c r="AH57" t="s">
        <v>1049</v>
      </c>
      <c r="AI57">
        <v>64</v>
      </c>
      <c r="AJ57">
        <v>38.03</v>
      </c>
      <c r="AK57">
        <v>24</v>
      </c>
      <c r="AL57">
        <v>17.670000000000002</v>
      </c>
    </row>
    <row r="58" spans="2:38" x14ac:dyDescent="0.2">
      <c r="B58">
        <v>0</v>
      </c>
      <c r="C58">
        <v>5</v>
      </c>
      <c r="H58">
        <v>224</v>
      </c>
      <c r="I58">
        <v>523</v>
      </c>
      <c r="J58" t="s">
        <v>1076</v>
      </c>
      <c r="K58" t="s">
        <v>1077</v>
      </c>
      <c r="L58" t="s">
        <v>1002</v>
      </c>
      <c r="O58" t="s">
        <v>399</v>
      </c>
      <c r="U58">
        <v>2.13</v>
      </c>
      <c r="V58">
        <v>0.35</v>
      </c>
      <c r="W58">
        <v>0</v>
      </c>
      <c r="X58">
        <v>0</v>
      </c>
      <c r="Y58">
        <v>0</v>
      </c>
      <c r="Z58">
        <v>2.48</v>
      </c>
      <c r="AA58">
        <v>64</v>
      </c>
      <c r="AB58">
        <v>38.03</v>
      </c>
      <c r="AC58">
        <v>87.03</v>
      </c>
      <c r="AD58">
        <v>328.97</v>
      </c>
      <c r="AE58">
        <v>143.6</v>
      </c>
      <c r="AI58">
        <v>64</v>
      </c>
      <c r="AJ58">
        <v>38.03</v>
      </c>
      <c r="AK58">
        <v>24</v>
      </c>
      <c r="AL58">
        <v>17.670000000000002</v>
      </c>
    </row>
    <row r="59" spans="2:38" x14ac:dyDescent="0.2">
      <c r="B59">
        <v>0</v>
      </c>
      <c r="C59">
        <v>5</v>
      </c>
      <c r="H59">
        <v>224</v>
      </c>
      <c r="I59">
        <v>525</v>
      </c>
      <c r="J59" t="s">
        <v>1070</v>
      </c>
      <c r="K59" t="s">
        <v>1071</v>
      </c>
      <c r="L59" t="s">
        <v>1072</v>
      </c>
      <c r="O59" t="s">
        <v>399</v>
      </c>
      <c r="U59">
        <v>2.13</v>
      </c>
      <c r="V59">
        <v>0.35</v>
      </c>
      <c r="W59">
        <v>0</v>
      </c>
      <c r="X59">
        <v>0</v>
      </c>
      <c r="Y59">
        <v>0</v>
      </c>
      <c r="Z59">
        <v>2.48</v>
      </c>
      <c r="AA59">
        <v>64</v>
      </c>
      <c r="AB59">
        <v>38.03</v>
      </c>
      <c r="AC59">
        <v>87.03</v>
      </c>
      <c r="AD59">
        <v>328.97</v>
      </c>
      <c r="AE59">
        <v>143.6</v>
      </c>
      <c r="AI59">
        <v>64</v>
      </c>
      <c r="AJ59">
        <v>38.03</v>
      </c>
      <c r="AK59">
        <v>24</v>
      </c>
      <c r="AL59">
        <v>17.670000000000002</v>
      </c>
    </row>
    <row r="60" spans="2:38" x14ac:dyDescent="0.2">
      <c r="B60">
        <v>10</v>
      </c>
      <c r="C60">
        <v>5</v>
      </c>
      <c r="D60" t="s">
        <v>105</v>
      </c>
      <c r="E60" t="s">
        <v>324</v>
      </c>
      <c r="F60" t="s">
        <v>114</v>
      </c>
      <c r="G60">
        <v>9</v>
      </c>
      <c r="H60">
        <v>225</v>
      </c>
      <c r="I60">
        <v>526</v>
      </c>
      <c r="J60" t="s">
        <v>1070</v>
      </c>
      <c r="K60" t="s">
        <v>1071</v>
      </c>
      <c r="L60" t="s">
        <v>1072</v>
      </c>
      <c r="M60">
        <v>43.7</v>
      </c>
      <c r="N60">
        <v>0</v>
      </c>
      <c r="O60" s="11">
        <v>44385</v>
      </c>
      <c r="P60">
        <v>1752</v>
      </c>
      <c r="Q60">
        <v>2731</v>
      </c>
      <c r="R60">
        <v>55</v>
      </c>
      <c r="S60">
        <v>11</v>
      </c>
      <c r="T60" t="s">
        <v>989</v>
      </c>
      <c r="U60">
        <v>2.13</v>
      </c>
      <c r="V60">
        <v>0.35</v>
      </c>
      <c r="W60">
        <v>0</v>
      </c>
      <c r="X60">
        <v>0</v>
      </c>
      <c r="Y60">
        <v>0</v>
      </c>
      <c r="Z60">
        <v>2.48</v>
      </c>
      <c r="AA60">
        <v>114</v>
      </c>
      <c r="AB60">
        <v>57.08</v>
      </c>
      <c r="AC60">
        <v>130.61000000000001</v>
      </c>
      <c r="AD60">
        <v>566.07000000000005</v>
      </c>
      <c r="AE60">
        <v>287.87</v>
      </c>
      <c r="AF60" t="s">
        <v>1095</v>
      </c>
      <c r="AG60" t="s">
        <v>1096</v>
      </c>
      <c r="AH60" t="s">
        <v>1049</v>
      </c>
      <c r="AI60">
        <v>114</v>
      </c>
      <c r="AJ60">
        <v>57.08</v>
      </c>
      <c r="AK60">
        <v>48</v>
      </c>
      <c r="AL60">
        <v>29.19</v>
      </c>
    </row>
    <row r="61" spans="2:38" x14ac:dyDescent="0.2">
      <c r="B61">
        <v>0</v>
      </c>
      <c r="C61">
        <v>5</v>
      </c>
      <c r="H61">
        <v>225</v>
      </c>
      <c r="I61">
        <v>528</v>
      </c>
      <c r="J61" t="s">
        <v>1074</v>
      </c>
      <c r="K61" t="s">
        <v>1075</v>
      </c>
      <c r="L61" t="s">
        <v>998</v>
      </c>
      <c r="O61" t="s">
        <v>399</v>
      </c>
      <c r="U61">
        <v>2.13</v>
      </c>
      <c r="V61">
        <v>0.35</v>
      </c>
      <c r="W61">
        <v>0</v>
      </c>
      <c r="X61">
        <v>0</v>
      </c>
      <c r="Y61">
        <v>0</v>
      </c>
      <c r="Z61">
        <v>2.48</v>
      </c>
      <c r="AA61">
        <v>114</v>
      </c>
      <c r="AB61">
        <v>57.08</v>
      </c>
      <c r="AC61">
        <v>130.61000000000001</v>
      </c>
      <c r="AD61">
        <v>566.07000000000005</v>
      </c>
      <c r="AE61">
        <v>287.87</v>
      </c>
      <c r="AI61">
        <v>114</v>
      </c>
      <c r="AJ61">
        <v>57.08</v>
      </c>
      <c r="AK61">
        <v>48</v>
      </c>
      <c r="AL61">
        <v>29.19</v>
      </c>
    </row>
    <row r="62" spans="2:38" x14ac:dyDescent="0.2">
      <c r="B62">
        <v>0</v>
      </c>
      <c r="C62">
        <v>5</v>
      </c>
      <c r="H62">
        <v>225</v>
      </c>
      <c r="I62">
        <v>527</v>
      </c>
      <c r="J62" t="s">
        <v>1076</v>
      </c>
      <c r="K62" t="s">
        <v>1077</v>
      </c>
      <c r="L62" t="s">
        <v>1002</v>
      </c>
      <c r="O62" t="s">
        <v>399</v>
      </c>
      <c r="U62">
        <v>2.13</v>
      </c>
      <c r="V62">
        <v>0.35</v>
      </c>
      <c r="W62">
        <v>0</v>
      </c>
      <c r="X62">
        <v>0</v>
      </c>
      <c r="Y62">
        <v>0</v>
      </c>
      <c r="Z62">
        <v>2.48</v>
      </c>
      <c r="AA62">
        <v>114</v>
      </c>
      <c r="AB62">
        <v>57.08</v>
      </c>
      <c r="AC62">
        <v>130.61000000000001</v>
      </c>
      <c r="AD62">
        <v>566.07000000000005</v>
      </c>
      <c r="AE62">
        <v>287.87</v>
      </c>
      <c r="AI62">
        <v>114</v>
      </c>
      <c r="AJ62">
        <v>57.08</v>
      </c>
      <c r="AK62">
        <v>48</v>
      </c>
      <c r="AL62">
        <v>29.19</v>
      </c>
    </row>
    <row r="63" spans="2:38" x14ac:dyDescent="0.2">
      <c r="B63">
        <v>10</v>
      </c>
      <c r="C63">
        <v>5</v>
      </c>
      <c r="D63" t="s">
        <v>105</v>
      </c>
      <c r="E63" t="s">
        <v>324</v>
      </c>
      <c r="F63" t="s">
        <v>112</v>
      </c>
      <c r="G63">
        <v>18</v>
      </c>
      <c r="H63">
        <v>279</v>
      </c>
      <c r="I63">
        <v>662</v>
      </c>
      <c r="J63" t="s">
        <v>1089</v>
      </c>
      <c r="K63" t="s">
        <v>1090</v>
      </c>
      <c r="L63" t="s">
        <v>1091</v>
      </c>
      <c r="M63">
        <v>45.2</v>
      </c>
      <c r="N63">
        <v>0</v>
      </c>
      <c r="O63" s="11">
        <v>44427</v>
      </c>
      <c r="P63" t="s">
        <v>610</v>
      </c>
      <c r="Q63">
        <v>133000</v>
      </c>
      <c r="R63">
        <v>2825</v>
      </c>
      <c r="S63">
        <v>565</v>
      </c>
      <c r="T63" t="s">
        <v>1033</v>
      </c>
      <c r="U63">
        <v>1.694</v>
      </c>
      <c r="V63">
        <v>0.35</v>
      </c>
      <c r="W63">
        <v>0</v>
      </c>
      <c r="X63">
        <v>0</v>
      </c>
      <c r="Y63">
        <v>0</v>
      </c>
      <c r="Z63">
        <v>2.044</v>
      </c>
      <c r="AA63">
        <v>3</v>
      </c>
      <c r="AB63">
        <v>2.16</v>
      </c>
      <c r="AC63">
        <v>4.78</v>
      </c>
      <c r="AD63">
        <v>13.3</v>
      </c>
      <c r="AE63">
        <v>5.2</v>
      </c>
      <c r="AF63" t="s">
        <v>1081</v>
      </c>
      <c r="AG63" t="s">
        <v>1068</v>
      </c>
      <c r="AI63">
        <v>3</v>
      </c>
      <c r="AJ63">
        <v>2.16</v>
      </c>
      <c r="AK63">
        <v>0</v>
      </c>
      <c r="AL63">
        <v>0</v>
      </c>
    </row>
    <row r="64" spans="2:38" x14ac:dyDescent="0.2">
      <c r="B64">
        <v>0</v>
      </c>
      <c r="C64">
        <v>5</v>
      </c>
      <c r="H64">
        <v>279</v>
      </c>
      <c r="I64">
        <v>661</v>
      </c>
      <c r="J64" t="s">
        <v>1092</v>
      </c>
      <c r="K64" t="s">
        <v>1093</v>
      </c>
      <c r="L64" t="s">
        <v>998</v>
      </c>
      <c r="O64" t="s">
        <v>399</v>
      </c>
      <c r="U64">
        <v>1.694</v>
      </c>
      <c r="V64">
        <v>0.35</v>
      </c>
      <c r="W64">
        <v>0</v>
      </c>
      <c r="X64">
        <v>0</v>
      </c>
      <c r="Y64">
        <v>0</v>
      </c>
      <c r="Z64">
        <v>2.044</v>
      </c>
      <c r="AA64">
        <v>3</v>
      </c>
      <c r="AB64">
        <v>2.16</v>
      </c>
      <c r="AC64">
        <v>4.78</v>
      </c>
      <c r="AD64">
        <v>13.3</v>
      </c>
      <c r="AE64">
        <v>5.2</v>
      </c>
      <c r="AI64">
        <v>3</v>
      </c>
      <c r="AJ64">
        <v>2.16</v>
      </c>
      <c r="AK64">
        <v>0</v>
      </c>
      <c r="AL64">
        <v>0</v>
      </c>
    </row>
    <row r="65" spans="2:38" x14ac:dyDescent="0.2">
      <c r="B65">
        <v>0</v>
      </c>
      <c r="C65">
        <v>5</v>
      </c>
      <c r="H65">
        <v>279</v>
      </c>
      <c r="I65">
        <v>660</v>
      </c>
      <c r="J65" t="s">
        <v>1069</v>
      </c>
      <c r="K65" t="s">
        <v>1037</v>
      </c>
      <c r="L65" t="s">
        <v>998</v>
      </c>
      <c r="O65" t="s">
        <v>399</v>
      </c>
      <c r="U65">
        <v>1.694</v>
      </c>
      <c r="V65">
        <v>0.35</v>
      </c>
      <c r="W65">
        <v>0</v>
      </c>
      <c r="X65">
        <v>0</v>
      </c>
      <c r="Y65">
        <v>0</v>
      </c>
      <c r="Z65">
        <v>2.044</v>
      </c>
      <c r="AA65">
        <v>36</v>
      </c>
      <c r="AB65">
        <v>22.73</v>
      </c>
      <c r="AC65">
        <v>50.28</v>
      </c>
      <c r="AD65">
        <v>138.94999999999999</v>
      </c>
      <c r="AE65">
        <v>53.77</v>
      </c>
      <c r="AI65">
        <v>36</v>
      </c>
      <c r="AJ65">
        <v>22.73</v>
      </c>
      <c r="AK65">
        <v>0</v>
      </c>
      <c r="AL65">
        <v>0</v>
      </c>
    </row>
    <row r="66" spans="2:38" x14ac:dyDescent="0.2">
      <c r="B66">
        <v>0</v>
      </c>
      <c r="C66">
        <v>5</v>
      </c>
      <c r="H66">
        <v>279</v>
      </c>
      <c r="I66">
        <v>659</v>
      </c>
      <c r="J66" t="s">
        <v>1064</v>
      </c>
      <c r="K66" t="s">
        <v>1065</v>
      </c>
      <c r="L66" t="s">
        <v>1066</v>
      </c>
      <c r="O66" t="s">
        <v>399</v>
      </c>
      <c r="U66">
        <v>1.694</v>
      </c>
      <c r="V66">
        <v>0.35</v>
      </c>
      <c r="W66">
        <v>0</v>
      </c>
      <c r="X66">
        <v>0</v>
      </c>
      <c r="Y66">
        <v>0</v>
      </c>
      <c r="Z66">
        <v>2.044</v>
      </c>
      <c r="AA66">
        <v>36</v>
      </c>
      <c r="AB66">
        <v>22.73</v>
      </c>
      <c r="AC66">
        <v>50.28</v>
      </c>
      <c r="AD66">
        <v>138.94999999999999</v>
      </c>
      <c r="AE66">
        <v>53.77</v>
      </c>
      <c r="AI66">
        <v>36</v>
      </c>
      <c r="AJ66">
        <v>22.73</v>
      </c>
      <c r="AK66">
        <v>0</v>
      </c>
      <c r="AL66">
        <v>0</v>
      </c>
    </row>
    <row r="67" spans="2:38" x14ac:dyDescent="0.2">
      <c r="B67">
        <v>10</v>
      </c>
      <c r="C67">
        <v>5</v>
      </c>
      <c r="D67" t="s">
        <v>105</v>
      </c>
      <c r="E67" t="s">
        <v>324</v>
      </c>
      <c r="F67" t="s">
        <v>613</v>
      </c>
      <c r="G67">
        <v>5</v>
      </c>
      <c r="H67">
        <v>259</v>
      </c>
      <c r="I67">
        <v>611</v>
      </c>
      <c r="J67" t="s">
        <v>1069</v>
      </c>
      <c r="K67" t="s">
        <v>1037</v>
      </c>
      <c r="L67" t="s">
        <v>998</v>
      </c>
      <c r="M67">
        <v>38</v>
      </c>
      <c r="N67">
        <v>0</v>
      </c>
      <c r="O67" s="11">
        <v>44414</v>
      </c>
      <c r="P67">
        <v>644</v>
      </c>
      <c r="Q67">
        <v>28500</v>
      </c>
      <c r="R67">
        <v>605</v>
      </c>
      <c r="S67">
        <v>121</v>
      </c>
      <c r="T67" t="s">
        <v>1033</v>
      </c>
      <c r="U67">
        <v>1.694</v>
      </c>
      <c r="V67">
        <v>0.35</v>
      </c>
      <c r="W67">
        <v>0</v>
      </c>
      <c r="X67">
        <v>0</v>
      </c>
      <c r="Y67">
        <v>0</v>
      </c>
      <c r="Z67">
        <v>2.044</v>
      </c>
      <c r="AA67">
        <v>5</v>
      </c>
      <c r="AB67">
        <v>3.38</v>
      </c>
      <c r="AC67">
        <v>8.9</v>
      </c>
      <c r="AD67">
        <v>23.69</v>
      </c>
      <c r="AE67">
        <v>8.6199999999999992</v>
      </c>
      <c r="AF67" t="s">
        <v>1097</v>
      </c>
      <c r="AG67" t="s">
        <v>1068</v>
      </c>
      <c r="AI67">
        <v>5</v>
      </c>
      <c r="AJ67">
        <v>3.38</v>
      </c>
      <c r="AK67">
        <v>0</v>
      </c>
      <c r="AL67">
        <v>0</v>
      </c>
    </row>
    <row r="68" spans="2:38" x14ac:dyDescent="0.2">
      <c r="B68">
        <v>0</v>
      </c>
      <c r="C68">
        <v>5</v>
      </c>
      <c r="H68">
        <v>259</v>
      </c>
      <c r="I68">
        <v>612</v>
      </c>
      <c r="J68" t="s">
        <v>1092</v>
      </c>
      <c r="K68" t="s">
        <v>1093</v>
      </c>
      <c r="L68" t="s">
        <v>998</v>
      </c>
      <c r="O68" t="s">
        <v>399</v>
      </c>
      <c r="U68">
        <v>1.694</v>
      </c>
      <c r="V68">
        <v>0.35</v>
      </c>
      <c r="W68">
        <v>0</v>
      </c>
      <c r="X68">
        <v>0</v>
      </c>
      <c r="Y68">
        <v>0</v>
      </c>
      <c r="Z68">
        <v>2.044</v>
      </c>
      <c r="AA68">
        <v>4</v>
      </c>
      <c r="AB68">
        <v>3.1</v>
      </c>
      <c r="AC68">
        <v>8.17</v>
      </c>
      <c r="AD68">
        <v>21.77</v>
      </c>
      <c r="AE68">
        <v>7.93</v>
      </c>
      <c r="AI68">
        <v>4</v>
      </c>
      <c r="AJ68">
        <v>3.1</v>
      </c>
      <c r="AK68">
        <v>0</v>
      </c>
      <c r="AL68">
        <v>0</v>
      </c>
    </row>
    <row r="69" spans="2:38" x14ac:dyDescent="0.2">
      <c r="B69">
        <v>10</v>
      </c>
      <c r="C69">
        <v>5</v>
      </c>
      <c r="D69" t="s">
        <v>105</v>
      </c>
      <c r="E69" t="s">
        <v>324</v>
      </c>
      <c r="F69" t="s">
        <v>110</v>
      </c>
      <c r="G69">
        <v>10</v>
      </c>
      <c r="H69">
        <v>244</v>
      </c>
      <c r="I69">
        <v>575</v>
      </c>
      <c r="J69" t="s">
        <v>1082</v>
      </c>
      <c r="K69" t="s">
        <v>1030</v>
      </c>
      <c r="L69" t="s">
        <v>998</v>
      </c>
      <c r="M69">
        <v>42.3</v>
      </c>
      <c r="N69">
        <v>0</v>
      </c>
      <c r="O69" s="11">
        <v>44407</v>
      </c>
      <c r="P69">
        <v>1752</v>
      </c>
      <c r="Q69">
        <v>27313</v>
      </c>
      <c r="R69">
        <v>580</v>
      </c>
      <c r="S69">
        <v>116</v>
      </c>
      <c r="T69" t="s">
        <v>999</v>
      </c>
      <c r="U69">
        <v>2.8879999999999999</v>
      </c>
      <c r="V69">
        <v>0.35</v>
      </c>
      <c r="W69">
        <v>0</v>
      </c>
      <c r="X69">
        <v>0</v>
      </c>
      <c r="Y69">
        <v>0</v>
      </c>
      <c r="Z69">
        <v>3.238</v>
      </c>
      <c r="AA69">
        <v>130</v>
      </c>
      <c r="AB69">
        <v>72.72</v>
      </c>
      <c r="AC69">
        <v>171.93</v>
      </c>
      <c r="AD69">
        <v>805.23</v>
      </c>
      <c r="AE69">
        <v>308.70999999999998</v>
      </c>
      <c r="AF69" t="s">
        <v>1094</v>
      </c>
      <c r="AG69" t="s">
        <v>1096</v>
      </c>
      <c r="AH69" t="s">
        <v>1049</v>
      </c>
      <c r="AI69">
        <v>130</v>
      </c>
      <c r="AJ69">
        <v>72.72</v>
      </c>
      <c r="AK69">
        <v>62</v>
      </c>
      <c r="AL69">
        <v>40.68</v>
      </c>
    </row>
    <row r="70" spans="2:38" x14ac:dyDescent="0.2">
      <c r="B70">
        <v>0</v>
      </c>
      <c r="C70">
        <v>5</v>
      </c>
      <c r="H70">
        <v>244</v>
      </c>
      <c r="I70">
        <v>576</v>
      </c>
      <c r="J70" t="s">
        <v>1085</v>
      </c>
      <c r="K70" t="s">
        <v>1056</v>
      </c>
      <c r="L70" t="s">
        <v>1002</v>
      </c>
      <c r="O70" t="s">
        <v>399</v>
      </c>
      <c r="U70">
        <v>2.8879999999999999</v>
      </c>
      <c r="V70">
        <v>0.35</v>
      </c>
      <c r="W70">
        <v>0</v>
      </c>
      <c r="X70">
        <v>0</v>
      </c>
      <c r="Y70">
        <v>0</v>
      </c>
      <c r="Z70">
        <v>3.238</v>
      </c>
      <c r="AA70">
        <v>130</v>
      </c>
      <c r="AB70">
        <v>72.72</v>
      </c>
      <c r="AC70">
        <v>171.93</v>
      </c>
      <c r="AD70">
        <v>805.23</v>
      </c>
      <c r="AE70">
        <v>308.70999999999998</v>
      </c>
      <c r="AI70">
        <v>130</v>
      </c>
      <c r="AJ70">
        <v>72.72</v>
      </c>
      <c r="AK70">
        <v>62</v>
      </c>
      <c r="AL70">
        <v>40.68</v>
      </c>
    </row>
    <row r="71" spans="2:38" x14ac:dyDescent="0.2">
      <c r="B71">
        <v>10</v>
      </c>
      <c r="C71">
        <v>5</v>
      </c>
      <c r="D71" t="s">
        <v>105</v>
      </c>
      <c r="E71" t="s">
        <v>324</v>
      </c>
      <c r="F71" t="s">
        <v>108</v>
      </c>
      <c r="G71">
        <v>9</v>
      </c>
      <c r="H71">
        <v>245</v>
      </c>
      <c r="I71">
        <v>578</v>
      </c>
      <c r="J71" t="s">
        <v>1074</v>
      </c>
      <c r="K71" t="s">
        <v>1075</v>
      </c>
      <c r="L71" t="s">
        <v>998</v>
      </c>
      <c r="M71">
        <v>43.7</v>
      </c>
      <c r="N71">
        <v>0</v>
      </c>
      <c r="O71" s="11">
        <v>44407</v>
      </c>
      <c r="P71" t="s">
        <v>620</v>
      </c>
      <c r="Q71">
        <v>24938</v>
      </c>
      <c r="R71">
        <v>530</v>
      </c>
      <c r="S71">
        <v>106</v>
      </c>
      <c r="T71" t="s">
        <v>989</v>
      </c>
      <c r="U71">
        <v>2.13</v>
      </c>
      <c r="V71">
        <v>0.35</v>
      </c>
      <c r="W71">
        <v>0</v>
      </c>
      <c r="X71">
        <v>0</v>
      </c>
      <c r="Y71">
        <v>0</v>
      </c>
      <c r="Z71">
        <v>2.48</v>
      </c>
      <c r="AA71">
        <v>61</v>
      </c>
      <c r="AB71">
        <v>34.36</v>
      </c>
      <c r="AC71">
        <v>78.63</v>
      </c>
      <c r="AD71">
        <v>249.89</v>
      </c>
      <c r="AE71">
        <v>82.41</v>
      </c>
      <c r="AF71" t="s">
        <v>1098</v>
      </c>
      <c r="AG71" t="s">
        <v>1068</v>
      </c>
      <c r="AI71">
        <v>61</v>
      </c>
      <c r="AJ71">
        <v>34.36</v>
      </c>
      <c r="AK71">
        <v>26</v>
      </c>
      <c r="AL71">
        <v>17.45</v>
      </c>
    </row>
    <row r="72" spans="2:38" x14ac:dyDescent="0.2">
      <c r="B72">
        <v>0</v>
      </c>
      <c r="C72">
        <v>5</v>
      </c>
      <c r="H72">
        <v>245</v>
      </c>
      <c r="I72">
        <v>577</v>
      </c>
      <c r="J72" t="s">
        <v>1070</v>
      </c>
      <c r="K72" t="s">
        <v>1071</v>
      </c>
      <c r="L72" t="s">
        <v>1072</v>
      </c>
      <c r="O72" t="s">
        <v>399</v>
      </c>
      <c r="U72">
        <v>2.13</v>
      </c>
      <c r="V72">
        <v>0.35</v>
      </c>
      <c r="W72">
        <v>0</v>
      </c>
      <c r="X72">
        <v>0</v>
      </c>
      <c r="Y72">
        <v>0</v>
      </c>
      <c r="Z72">
        <v>2.48</v>
      </c>
      <c r="AA72">
        <v>61</v>
      </c>
      <c r="AB72">
        <v>34.36</v>
      </c>
      <c r="AC72">
        <v>78.63</v>
      </c>
      <c r="AD72">
        <v>249.89</v>
      </c>
      <c r="AE72">
        <v>82.41</v>
      </c>
      <c r="AI72">
        <v>61</v>
      </c>
      <c r="AJ72">
        <v>34.36</v>
      </c>
      <c r="AK72">
        <v>26</v>
      </c>
      <c r="AL72">
        <v>17.45</v>
      </c>
    </row>
    <row r="73" spans="2:38" x14ac:dyDescent="0.2">
      <c r="B73">
        <v>10</v>
      </c>
      <c r="C73">
        <v>5</v>
      </c>
      <c r="D73" t="s">
        <v>105</v>
      </c>
      <c r="E73" t="s">
        <v>324</v>
      </c>
      <c r="F73" t="s">
        <v>106</v>
      </c>
      <c r="G73">
        <v>11</v>
      </c>
      <c r="H73">
        <v>193</v>
      </c>
      <c r="I73">
        <v>450</v>
      </c>
      <c r="J73" t="s">
        <v>1069</v>
      </c>
      <c r="K73" t="s">
        <v>1037</v>
      </c>
      <c r="L73" t="s">
        <v>998</v>
      </c>
      <c r="M73">
        <v>38</v>
      </c>
      <c r="N73">
        <v>0</v>
      </c>
      <c r="O73" s="11">
        <v>44355</v>
      </c>
      <c r="P73">
        <v>642</v>
      </c>
      <c r="Q73">
        <v>40375</v>
      </c>
      <c r="R73">
        <v>855</v>
      </c>
      <c r="S73">
        <v>171</v>
      </c>
      <c r="T73" t="s">
        <v>1033</v>
      </c>
      <c r="U73">
        <v>1.6942999999999999</v>
      </c>
      <c r="V73">
        <v>0.35</v>
      </c>
      <c r="W73">
        <v>0</v>
      </c>
      <c r="X73">
        <v>0</v>
      </c>
      <c r="Y73">
        <v>0</v>
      </c>
      <c r="Z73">
        <v>2.0442999999999998</v>
      </c>
      <c r="AA73">
        <v>9</v>
      </c>
      <c r="AB73">
        <v>4.99</v>
      </c>
      <c r="AC73">
        <v>13.14</v>
      </c>
      <c r="AD73">
        <v>34.840000000000003</v>
      </c>
      <c r="AE73">
        <v>12.58</v>
      </c>
      <c r="AF73" t="s">
        <v>1097</v>
      </c>
      <c r="AI73">
        <v>9</v>
      </c>
      <c r="AJ73">
        <v>4.99</v>
      </c>
      <c r="AK73">
        <v>0</v>
      </c>
      <c r="AL73">
        <v>0</v>
      </c>
    </row>
    <row r="74" spans="2:38" x14ac:dyDescent="0.2">
      <c r="B74">
        <v>0</v>
      </c>
      <c r="C74">
        <v>5</v>
      </c>
      <c r="H74">
        <v>193</v>
      </c>
      <c r="I74">
        <v>451</v>
      </c>
      <c r="J74" t="s">
        <v>1092</v>
      </c>
      <c r="K74" t="s">
        <v>1093</v>
      </c>
      <c r="L74" t="s">
        <v>998</v>
      </c>
      <c r="O74" t="s">
        <v>399</v>
      </c>
      <c r="U74">
        <v>1.6942999999999999</v>
      </c>
      <c r="V74">
        <v>0.35</v>
      </c>
      <c r="W74">
        <v>0</v>
      </c>
      <c r="X74">
        <v>0</v>
      </c>
      <c r="Y74">
        <v>0</v>
      </c>
      <c r="Z74">
        <v>2.0442999999999998</v>
      </c>
      <c r="AA74">
        <v>4</v>
      </c>
      <c r="AB74">
        <v>3.1</v>
      </c>
      <c r="AC74">
        <v>8.17</v>
      </c>
      <c r="AD74">
        <v>21.77</v>
      </c>
      <c r="AE74">
        <v>7.93</v>
      </c>
      <c r="AI74">
        <v>4</v>
      </c>
      <c r="AJ74">
        <v>3.1</v>
      </c>
      <c r="AK74">
        <v>0</v>
      </c>
      <c r="AL74">
        <v>0</v>
      </c>
    </row>
    <row r="75" spans="2:38" x14ac:dyDescent="0.2">
      <c r="B75">
        <v>10</v>
      </c>
      <c r="C75">
        <v>5</v>
      </c>
      <c r="D75" t="s">
        <v>105</v>
      </c>
      <c r="E75" t="s">
        <v>324</v>
      </c>
      <c r="F75" t="s">
        <v>103</v>
      </c>
      <c r="G75">
        <v>13</v>
      </c>
      <c r="H75">
        <v>236</v>
      </c>
      <c r="I75">
        <v>553</v>
      </c>
      <c r="J75" t="s">
        <v>1074</v>
      </c>
      <c r="K75" t="s">
        <v>1075</v>
      </c>
      <c r="L75" t="s">
        <v>998</v>
      </c>
      <c r="M75">
        <v>43.7</v>
      </c>
      <c r="N75">
        <v>0</v>
      </c>
      <c r="O75" s="11">
        <v>44390</v>
      </c>
      <c r="P75" t="s">
        <v>627</v>
      </c>
      <c r="Q75">
        <v>33251</v>
      </c>
      <c r="R75">
        <v>705</v>
      </c>
      <c r="S75">
        <v>141</v>
      </c>
      <c r="T75" t="s">
        <v>989</v>
      </c>
      <c r="U75">
        <v>2.13</v>
      </c>
      <c r="V75">
        <v>0.35</v>
      </c>
      <c r="W75">
        <v>0</v>
      </c>
      <c r="X75">
        <v>0</v>
      </c>
      <c r="Y75">
        <v>0</v>
      </c>
      <c r="Z75">
        <v>2.48</v>
      </c>
      <c r="AA75">
        <v>83</v>
      </c>
      <c r="AB75">
        <v>48.3</v>
      </c>
      <c r="AC75">
        <v>110.53</v>
      </c>
      <c r="AD75">
        <v>376.2</v>
      </c>
      <c r="AE75">
        <v>140.77000000000001</v>
      </c>
      <c r="AF75" t="s">
        <v>1086</v>
      </c>
      <c r="AG75" t="s">
        <v>1099</v>
      </c>
      <c r="AI75">
        <v>83</v>
      </c>
      <c r="AJ75">
        <v>48.3</v>
      </c>
      <c r="AK75">
        <v>35</v>
      </c>
      <c r="AL75">
        <v>26.1</v>
      </c>
    </row>
    <row r="76" spans="2:38" x14ac:dyDescent="0.2">
      <c r="B76">
        <v>0</v>
      </c>
      <c r="C76">
        <v>5</v>
      </c>
      <c r="H76">
        <v>236</v>
      </c>
      <c r="I76">
        <v>554</v>
      </c>
      <c r="J76" t="s">
        <v>1070</v>
      </c>
      <c r="K76" t="s">
        <v>1071</v>
      </c>
      <c r="L76" t="s">
        <v>1072</v>
      </c>
      <c r="O76" t="s">
        <v>399</v>
      </c>
      <c r="U76">
        <v>2.13</v>
      </c>
      <c r="V76">
        <v>0.35</v>
      </c>
      <c r="W76">
        <v>0</v>
      </c>
      <c r="X76">
        <v>0</v>
      </c>
      <c r="Y76">
        <v>0</v>
      </c>
      <c r="Z76">
        <v>2.48</v>
      </c>
      <c r="AA76">
        <v>83</v>
      </c>
      <c r="AB76">
        <v>48.3</v>
      </c>
      <c r="AC76">
        <v>110.53</v>
      </c>
      <c r="AD76">
        <v>376.2</v>
      </c>
      <c r="AE76">
        <v>140.77000000000001</v>
      </c>
      <c r="AI76">
        <v>83</v>
      </c>
      <c r="AJ76">
        <v>48.3</v>
      </c>
      <c r="AK76">
        <v>35</v>
      </c>
      <c r="AL76">
        <v>26.1</v>
      </c>
    </row>
    <row r="77" spans="2:38" x14ac:dyDescent="0.2">
      <c r="B77">
        <v>10</v>
      </c>
      <c r="C77">
        <v>6</v>
      </c>
      <c r="D77" t="s">
        <v>24</v>
      </c>
      <c r="E77" t="s">
        <v>346</v>
      </c>
      <c r="F77" t="s">
        <v>63</v>
      </c>
      <c r="G77">
        <v>13</v>
      </c>
      <c r="H77">
        <v>15</v>
      </c>
      <c r="I77">
        <v>36</v>
      </c>
      <c r="J77" t="s">
        <v>1100</v>
      </c>
      <c r="K77" t="s">
        <v>1101</v>
      </c>
      <c r="L77" t="s">
        <v>1102</v>
      </c>
      <c r="M77">
        <v>45</v>
      </c>
      <c r="N77">
        <v>43</v>
      </c>
      <c r="O77" s="11">
        <v>44110</v>
      </c>
      <c r="P77" t="s">
        <v>651</v>
      </c>
      <c r="Q77">
        <v>14000</v>
      </c>
      <c r="R77">
        <v>295</v>
      </c>
      <c r="S77">
        <v>59</v>
      </c>
      <c r="T77" t="s">
        <v>989</v>
      </c>
      <c r="U77">
        <v>1.4870000000000001</v>
      </c>
      <c r="V77">
        <v>0.35</v>
      </c>
      <c r="W77">
        <v>4.4600000000000001E-2</v>
      </c>
      <c r="X77">
        <v>0</v>
      </c>
      <c r="Y77">
        <v>0.45</v>
      </c>
      <c r="Z77">
        <v>2.3315999999999999</v>
      </c>
      <c r="AA77">
        <v>80</v>
      </c>
      <c r="AB77">
        <v>50.39</v>
      </c>
      <c r="AC77">
        <v>113.16</v>
      </c>
      <c r="AD77">
        <v>328.29</v>
      </c>
      <c r="AE77">
        <v>104.04</v>
      </c>
      <c r="AF77" t="s">
        <v>1103</v>
      </c>
      <c r="AG77" t="s">
        <v>1068</v>
      </c>
      <c r="AH77" t="s">
        <v>1104</v>
      </c>
      <c r="AI77">
        <v>28</v>
      </c>
      <c r="AJ77">
        <v>17.260000000000002</v>
      </c>
      <c r="AK77">
        <v>52</v>
      </c>
      <c r="AL77">
        <v>33.130000000000003</v>
      </c>
    </row>
    <row r="78" spans="2:38" x14ac:dyDescent="0.2">
      <c r="B78">
        <v>10</v>
      </c>
      <c r="C78">
        <v>6</v>
      </c>
      <c r="D78" t="s">
        <v>24</v>
      </c>
      <c r="E78" t="s">
        <v>346</v>
      </c>
      <c r="F78" t="s">
        <v>61</v>
      </c>
      <c r="G78">
        <v>34</v>
      </c>
      <c r="H78">
        <v>255</v>
      </c>
      <c r="I78">
        <v>601</v>
      </c>
      <c r="J78" t="s">
        <v>1105</v>
      </c>
      <c r="K78" t="s">
        <v>1106</v>
      </c>
      <c r="L78" t="s">
        <v>1107</v>
      </c>
      <c r="M78">
        <v>53.420999999999999</v>
      </c>
      <c r="N78">
        <v>51.420999999999999</v>
      </c>
      <c r="O78" s="11">
        <v>44413</v>
      </c>
      <c r="P78" t="s">
        <v>654</v>
      </c>
      <c r="Q78">
        <v>269</v>
      </c>
      <c r="R78">
        <v>5</v>
      </c>
      <c r="S78">
        <v>1</v>
      </c>
      <c r="T78" t="s">
        <v>989</v>
      </c>
      <c r="U78">
        <v>1.387</v>
      </c>
      <c r="V78">
        <v>0.35</v>
      </c>
      <c r="W78">
        <v>4.1599999999999998E-2</v>
      </c>
      <c r="X78">
        <v>0</v>
      </c>
      <c r="Y78">
        <v>0.45</v>
      </c>
      <c r="Z78">
        <v>2.2286000000000001</v>
      </c>
      <c r="AA78">
        <v>76</v>
      </c>
      <c r="AB78">
        <v>47.09</v>
      </c>
      <c r="AC78">
        <v>88.91</v>
      </c>
      <c r="AD78">
        <v>224.64</v>
      </c>
      <c r="AE78">
        <v>53.08</v>
      </c>
      <c r="AF78" t="s">
        <v>1108</v>
      </c>
      <c r="AG78" t="s">
        <v>1109</v>
      </c>
      <c r="AI78">
        <v>2</v>
      </c>
      <c r="AJ78">
        <v>0.62</v>
      </c>
      <c r="AK78">
        <v>66</v>
      </c>
      <c r="AL78">
        <v>41.15</v>
      </c>
    </row>
    <row r="79" spans="2:38" x14ac:dyDescent="0.2">
      <c r="B79">
        <v>0</v>
      </c>
      <c r="C79">
        <v>6</v>
      </c>
      <c r="H79">
        <v>255</v>
      </c>
      <c r="I79">
        <v>602</v>
      </c>
      <c r="J79" t="s">
        <v>1110</v>
      </c>
      <c r="K79" t="s">
        <v>1111</v>
      </c>
      <c r="L79" t="s">
        <v>1112</v>
      </c>
      <c r="O79" t="s">
        <v>399</v>
      </c>
      <c r="U79">
        <v>1.387</v>
      </c>
      <c r="V79">
        <v>0.35</v>
      </c>
      <c r="W79">
        <v>4.1599999999999998E-2</v>
      </c>
      <c r="X79">
        <v>0</v>
      </c>
      <c r="Y79">
        <v>0.45</v>
      </c>
      <c r="Z79">
        <v>2.2286000000000001</v>
      </c>
      <c r="AA79">
        <v>76</v>
      </c>
      <c r="AB79">
        <v>47.09</v>
      </c>
      <c r="AC79">
        <v>88.87</v>
      </c>
      <c r="AD79">
        <v>229.17</v>
      </c>
      <c r="AE79">
        <v>53.07</v>
      </c>
      <c r="AI79">
        <v>2</v>
      </c>
      <c r="AJ79">
        <v>0.62</v>
      </c>
      <c r="AK79">
        <v>66</v>
      </c>
      <c r="AL79">
        <v>41.15</v>
      </c>
    </row>
    <row r="80" spans="2:38" x14ac:dyDescent="0.2">
      <c r="B80">
        <v>0</v>
      </c>
      <c r="C80">
        <v>6</v>
      </c>
      <c r="H80">
        <v>255</v>
      </c>
      <c r="I80">
        <v>603</v>
      </c>
      <c r="J80" t="s">
        <v>1113</v>
      </c>
      <c r="K80" t="s">
        <v>1114</v>
      </c>
      <c r="L80" t="s">
        <v>1115</v>
      </c>
      <c r="O80" t="s">
        <v>399</v>
      </c>
      <c r="U80">
        <v>1.387</v>
      </c>
      <c r="V80">
        <v>0.35</v>
      </c>
      <c r="W80">
        <v>4.1599999999999998E-2</v>
      </c>
      <c r="X80">
        <v>0</v>
      </c>
      <c r="Y80">
        <v>0.45</v>
      </c>
      <c r="Z80">
        <v>2.2286000000000001</v>
      </c>
      <c r="AA80">
        <v>62</v>
      </c>
      <c r="AB80">
        <v>36.78</v>
      </c>
      <c r="AC80">
        <v>69.23</v>
      </c>
      <c r="AD80">
        <v>177.25</v>
      </c>
      <c r="AE80">
        <v>47.2</v>
      </c>
      <c r="AI80">
        <v>2</v>
      </c>
      <c r="AJ80">
        <v>0.62</v>
      </c>
      <c r="AK80">
        <v>56</v>
      </c>
      <c r="AL80">
        <v>33.5</v>
      </c>
    </row>
    <row r="81" spans="2:38" x14ac:dyDescent="0.2">
      <c r="B81">
        <v>0</v>
      </c>
      <c r="C81">
        <v>6</v>
      </c>
      <c r="H81">
        <v>255</v>
      </c>
      <c r="I81">
        <v>600</v>
      </c>
      <c r="J81" t="s">
        <v>1116</v>
      </c>
      <c r="K81" t="s">
        <v>1117</v>
      </c>
      <c r="L81" t="s">
        <v>988</v>
      </c>
      <c r="O81" t="s">
        <v>399</v>
      </c>
      <c r="U81">
        <v>1.387</v>
      </c>
      <c r="V81">
        <v>0.35</v>
      </c>
      <c r="W81">
        <v>4.1599999999999998E-2</v>
      </c>
      <c r="X81">
        <v>0</v>
      </c>
      <c r="Y81">
        <v>0.45</v>
      </c>
      <c r="Z81">
        <v>2.2286000000000001</v>
      </c>
      <c r="AA81">
        <v>90</v>
      </c>
      <c r="AB81">
        <v>57.41</v>
      </c>
      <c r="AC81">
        <v>108.61</v>
      </c>
      <c r="AD81">
        <v>272.27</v>
      </c>
      <c r="AE81">
        <v>68.290000000000006</v>
      </c>
      <c r="AI81">
        <v>2</v>
      </c>
      <c r="AJ81">
        <v>0.62</v>
      </c>
      <c r="AK81">
        <v>76</v>
      </c>
      <c r="AL81">
        <v>48.81</v>
      </c>
    </row>
    <row r="82" spans="2:38" x14ac:dyDescent="0.2">
      <c r="B82">
        <v>10</v>
      </c>
      <c r="C82">
        <v>6</v>
      </c>
      <c r="D82" t="s">
        <v>24</v>
      </c>
      <c r="E82" t="s">
        <v>346</v>
      </c>
      <c r="F82" t="s">
        <v>59</v>
      </c>
      <c r="G82">
        <v>23</v>
      </c>
      <c r="H82">
        <v>261</v>
      </c>
      <c r="I82">
        <v>615</v>
      </c>
      <c r="J82" t="s">
        <v>1118</v>
      </c>
      <c r="K82" t="s">
        <v>1119</v>
      </c>
      <c r="L82" t="s">
        <v>988</v>
      </c>
      <c r="M82">
        <v>62.962000000000003</v>
      </c>
      <c r="N82">
        <v>60.962000000000003</v>
      </c>
      <c r="O82" s="11">
        <v>44419</v>
      </c>
      <c r="P82" t="s">
        <v>404</v>
      </c>
      <c r="Q82">
        <v>1000</v>
      </c>
      <c r="R82">
        <v>20</v>
      </c>
      <c r="S82">
        <v>4</v>
      </c>
      <c r="T82" t="s">
        <v>1120</v>
      </c>
      <c r="U82">
        <v>1.46</v>
      </c>
      <c r="V82">
        <v>0.35</v>
      </c>
      <c r="W82">
        <v>0</v>
      </c>
      <c r="X82">
        <v>0</v>
      </c>
      <c r="Y82">
        <v>0</v>
      </c>
      <c r="Z82">
        <v>1.81</v>
      </c>
      <c r="AA82">
        <v>32</v>
      </c>
      <c r="AB82">
        <v>20.71</v>
      </c>
      <c r="AC82">
        <v>33.17</v>
      </c>
      <c r="AD82">
        <v>64.62</v>
      </c>
      <c r="AE82">
        <v>16.2</v>
      </c>
      <c r="AG82" t="s">
        <v>1121</v>
      </c>
      <c r="AI82">
        <v>0</v>
      </c>
      <c r="AJ82">
        <v>0</v>
      </c>
      <c r="AK82">
        <v>17</v>
      </c>
      <c r="AL82">
        <v>11.5</v>
      </c>
    </row>
    <row r="83" spans="2:38" x14ac:dyDescent="0.2">
      <c r="B83">
        <v>0</v>
      </c>
      <c r="C83">
        <v>6</v>
      </c>
      <c r="H83">
        <v>261</v>
      </c>
      <c r="I83">
        <v>616</v>
      </c>
      <c r="J83" t="s">
        <v>1122</v>
      </c>
      <c r="K83" t="s">
        <v>1123</v>
      </c>
      <c r="L83" t="s">
        <v>1124</v>
      </c>
      <c r="O83" t="s">
        <v>399</v>
      </c>
      <c r="U83">
        <v>1.46</v>
      </c>
      <c r="V83">
        <v>0.35</v>
      </c>
      <c r="W83">
        <v>0</v>
      </c>
      <c r="X83">
        <v>0</v>
      </c>
      <c r="Y83">
        <v>0</v>
      </c>
      <c r="Z83">
        <v>1.81</v>
      </c>
      <c r="AA83">
        <v>32</v>
      </c>
      <c r="AB83">
        <v>20.71</v>
      </c>
      <c r="AC83">
        <v>33.17</v>
      </c>
      <c r="AD83">
        <v>70.59</v>
      </c>
      <c r="AE83">
        <v>16.2</v>
      </c>
      <c r="AI83">
        <v>0</v>
      </c>
      <c r="AJ83">
        <v>0</v>
      </c>
      <c r="AK83">
        <v>17</v>
      </c>
      <c r="AL83">
        <v>11.5</v>
      </c>
    </row>
    <row r="84" spans="2:38" x14ac:dyDescent="0.2">
      <c r="B84">
        <v>10</v>
      </c>
      <c r="C84">
        <v>6</v>
      </c>
      <c r="D84" t="s">
        <v>24</v>
      </c>
      <c r="E84" t="s">
        <v>326</v>
      </c>
      <c r="F84" t="s">
        <v>51</v>
      </c>
      <c r="G84">
        <v>12</v>
      </c>
      <c r="H84">
        <v>18</v>
      </c>
      <c r="I84">
        <v>43</v>
      </c>
      <c r="J84" t="s">
        <v>1125</v>
      </c>
      <c r="K84" t="s">
        <v>1126</v>
      </c>
      <c r="L84" t="s">
        <v>988</v>
      </c>
      <c r="M84">
        <v>59</v>
      </c>
      <c r="N84">
        <v>0</v>
      </c>
      <c r="O84" s="11">
        <v>44116</v>
      </c>
      <c r="P84">
        <v>103986</v>
      </c>
      <c r="Q84">
        <v>4950</v>
      </c>
      <c r="R84">
        <v>105</v>
      </c>
      <c r="S84">
        <v>21</v>
      </c>
      <c r="T84" t="s">
        <v>989</v>
      </c>
      <c r="U84">
        <v>1.4159999999999999</v>
      </c>
      <c r="V84">
        <v>0.35</v>
      </c>
      <c r="W84">
        <v>4.2500000000000003E-2</v>
      </c>
      <c r="X84">
        <v>0</v>
      </c>
      <c r="Y84">
        <v>0.45</v>
      </c>
      <c r="Z84">
        <v>2.2585000000000002</v>
      </c>
      <c r="AA84">
        <v>133</v>
      </c>
      <c r="AB84">
        <v>68.98</v>
      </c>
      <c r="AC84">
        <v>116.91</v>
      </c>
      <c r="AD84">
        <v>299.72000000000003</v>
      </c>
      <c r="AE84">
        <v>76.59</v>
      </c>
      <c r="AF84" t="s">
        <v>1127</v>
      </c>
      <c r="AG84" t="s">
        <v>1128</v>
      </c>
      <c r="AI84">
        <v>16</v>
      </c>
      <c r="AJ84">
        <v>7.89</v>
      </c>
      <c r="AK84">
        <v>70</v>
      </c>
      <c r="AL84">
        <v>38.5</v>
      </c>
    </row>
    <row r="85" spans="2:38" x14ac:dyDescent="0.2">
      <c r="B85">
        <v>10</v>
      </c>
      <c r="C85">
        <v>6</v>
      </c>
      <c r="D85" t="s">
        <v>24</v>
      </c>
      <c r="E85" t="s">
        <v>348</v>
      </c>
      <c r="F85" t="s">
        <v>49</v>
      </c>
      <c r="G85">
        <v>14</v>
      </c>
      <c r="H85">
        <v>240</v>
      </c>
      <c r="I85">
        <v>561</v>
      </c>
      <c r="J85" t="s">
        <v>1125</v>
      </c>
      <c r="K85" t="s">
        <v>1126</v>
      </c>
      <c r="L85" t="s">
        <v>988</v>
      </c>
      <c r="M85">
        <v>56</v>
      </c>
      <c r="N85">
        <v>0</v>
      </c>
      <c r="O85" s="11">
        <v>44404</v>
      </c>
      <c r="P85" t="s">
        <v>670</v>
      </c>
      <c r="Q85">
        <v>1000</v>
      </c>
      <c r="R85">
        <v>20</v>
      </c>
      <c r="S85">
        <v>4</v>
      </c>
      <c r="T85" t="s">
        <v>989</v>
      </c>
      <c r="U85">
        <v>2.0489999999999999</v>
      </c>
      <c r="V85">
        <v>0.35</v>
      </c>
      <c r="W85">
        <v>0</v>
      </c>
      <c r="X85">
        <v>0.18</v>
      </c>
      <c r="Y85">
        <v>0</v>
      </c>
      <c r="Z85">
        <v>2.5790000000000002</v>
      </c>
      <c r="AA85">
        <v>49</v>
      </c>
      <c r="AB85">
        <v>13.67</v>
      </c>
      <c r="AC85">
        <v>24.4</v>
      </c>
      <c r="AD85">
        <v>55.1</v>
      </c>
      <c r="AE85">
        <v>8.5399999999999991</v>
      </c>
      <c r="AF85" t="s">
        <v>1129</v>
      </c>
      <c r="AG85" t="s">
        <v>1068</v>
      </c>
      <c r="AI85">
        <v>0</v>
      </c>
      <c r="AJ85">
        <v>0</v>
      </c>
      <c r="AK85">
        <v>0</v>
      </c>
      <c r="AL85">
        <v>0</v>
      </c>
    </row>
    <row r="86" spans="2:38" x14ac:dyDescent="0.2">
      <c r="B86">
        <v>0</v>
      </c>
      <c r="C86">
        <v>6</v>
      </c>
      <c r="H86">
        <v>240</v>
      </c>
      <c r="I86">
        <v>563</v>
      </c>
      <c r="J86" t="s">
        <v>1130</v>
      </c>
      <c r="K86" t="s">
        <v>1131</v>
      </c>
      <c r="L86" t="s">
        <v>992</v>
      </c>
      <c r="O86" t="s">
        <v>399</v>
      </c>
      <c r="U86">
        <v>2.0489999999999999</v>
      </c>
      <c r="V86">
        <v>0.35</v>
      </c>
      <c r="W86">
        <v>0</v>
      </c>
      <c r="X86">
        <v>0.18</v>
      </c>
      <c r="Y86">
        <v>0</v>
      </c>
      <c r="Z86">
        <v>2.5790000000000002</v>
      </c>
      <c r="AA86">
        <v>130</v>
      </c>
      <c r="AB86">
        <v>71.62</v>
      </c>
      <c r="AC86">
        <v>127.9</v>
      </c>
      <c r="AD86">
        <v>320.05</v>
      </c>
      <c r="AE86">
        <v>62.85</v>
      </c>
      <c r="AI86">
        <v>4</v>
      </c>
      <c r="AJ86">
        <v>2.54</v>
      </c>
      <c r="AK86">
        <v>47</v>
      </c>
      <c r="AL86">
        <v>32.15</v>
      </c>
    </row>
    <row r="87" spans="2:38" x14ac:dyDescent="0.2">
      <c r="B87">
        <v>0</v>
      </c>
      <c r="C87">
        <v>6</v>
      </c>
      <c r="H87">
        <v>240</v>
      </c>
      <c r="I87">
        <v>562</v>
      </c>
      <c r="J87" t="s">
        <v>1132</v>
      </c>
      <c r="K87" t="s">
        <v>1133</v>
      </c>
      <c r="L87" t="s">
        <v>1134</v>
      </c>
      <c r="O87" t="s">
        <v>399</v>
      </c>
      <c r="U87">
        <v>2.0489999999999999</v>
      </c>
      <c r="V87">
        <v>0.35</v>
      </c>
      <c r="W87">
        <v>0</v>
      </c>
      <c r="X87">
        <v>0.18</v>
      </c>
      <c r="Y87">
        <v>0</v>
      </c>
      <c r="Z87">
        <v>2.5790000000000002</v>
      </c>
      <c r="AA87">
        <v>90</v>
      </c>
      <c r="AB87">
        <v>50.04</v>
      </c>
      <c r="AC87">
        <v>89.37</v>
      </c>
      <c r="AD87">
        <v>245.26</v>
      </c>
      <c r="AE87">
        <v>46.06</v>
      </c>
      <c r="AI87">
        <v>4</v>
      </c>
      <c r="AJ87">
        <v>2.54</v>
      </c>
      <c r="AK87">
        <v>36</v>
      </c>
      <c r="AL87">
        <v>24.77</v>
      </c>
    </row>
    <row r="88" spans="2:38" x14ac:dyDescent="0.2">
      <c r="B88">
        <v>0</v>
      </c>
      <c r="C88">
        <v>6</v>
      </c>
      <c r="H88">
        <v>240</v>
      </c>
      <c r="I88">
        <v>564</v>
      </c>
      <c r="J88" t="s">
        <v>1135</v>
      </c>
      <c r="K88" t="s">
        <v>1136</v>
      </c>
      <c r="L88" t="s">
        <v>1137</v>
      </c>
      <c r="O88" t="s">
        <v>399</v>
      </c>
      <c r="U88">
        <v>2.0489999999999999</v>
      </c>
      <c r="V88">
        <v>0.35</v>
      </c>
      <c r="W88">
        <v>0</v>
      </c>
      <c r="X88">
        <v>0.18</v>
      </c>
      <c r="Y88">
        <v>0</v>
      </c>
      <c r="Z88">
        <v>2.5790000000000002</v>
      </c>
      <c r="AA88">
        <v>123</v>
      </c>
      <c r="AB88">
        <v>68.3</v>
      </c>
      <c r="AC88">
        <v>121.97</v>
      </c>
      <c r="AD88">
        <v>306.43</v>
      </c>
      <c r="AE88">
        <v>61.08</v>
      </c>
      <c r="AI88">
        <v>4</v>
      </c>
      <c r="AJ88">
        <v>2.54</v>
      </c>
      <c r="AK88">
        <v>46</v>
      </c>
      <c r="AL88">
        <v>32.840000000000003</v>
      </c>
    </row>
    <row r="89" spans="2:38" x14ac:dyDescent="0.2">
      <c r="B89">
        <v>10</v>
      </c>
      <c r="C89">
        <v>6</v>
      </c>
      <c r="D89" t="s">
        <v>24</v>
      </c>
      <c r="E89" t="s">
        <v>326</v>
      </c>
      <c r="F89" t="s">
        <v>45</v>
      </c>
      <c r="G89">
        <v>11</v>
      </c>
      <c r="H89">
        <v>204</v>
      </c>
      <c r="I89">
        <v>481</v>
      </c>
      <c r="J89" t="s">
        <v>1138</v>
      </c>
      <c r="K89" t="s">
        <v>1139</v>
      </c>
      <c r="L89" t="s">
        <v>1140</v>
      </c>
      <c r="M89">
        <v>28.25</v>
      </c>
      <c r="N89">
        <v>0</v>
      </c>
      <c r="O89" s="11">
        <v>44368</v>
      </c>
      <c r="P89" t="s">
        <v>404</v>
      </c>
      <c r="Q89">
        <v>1000</v>
      </c>
      <c r="R89">
        <v>20</v>
      </c>
      <c r="S89">
        <v>4</v>
      </c>
      <c r="T89" t="s">
        <v>989</v>
      </c>
      <c r="U89">
        <v>2.363</v>
      </c>
      <c r="V89">
        <v>0.35</v>
      </c>
      <c r="W89">
        <v>0</v>
      </c>
      <c r="X89">
        <v>0.18</v>
      </c>
      <c r="Y89">
        <v>0</v>
      </c>
      <c r="Z89">
        <v>2.8929999999999998</v>
      </c>
      <c r="AA89">
        <v>10</v>
      </c>
      <c r="AB89">
        <v>4.07</v>
      </c>
      <c r="AC89">
        <v>14.41</v>
      </c>
      <c r="AD89">
        <v>41.69</v>
      </c>
      <c r="AE89">
        <v>5.04</v>
      </c>
      <c r="AI89">
        <v>0</v>
      </c>
      <c r="AJ89">
        <v>0</v>
      </c>
      <c r="AK89">
        <v>0</v>
      </c>
      <c r="AL89">
        <v>0</v>
      </c>
    </row>
    <row r="90" spans="2:38" x14ac:dyDescent="0.2">
      <c r="B90">
        <v>0</v>
      </c>
      <c r="C90">
        <v>6</v>
      </c>
      <c r="H90">
        <v>204</v>
      </c>
      <c r="I90">
        <v>480</v>
      </c>
      <c r="J90" t="s">
        <v>1141</v>
      </c>
      <c r="K90" t="s">
        <v>1142</v>
      </c>
      <c r="L90" t="s">
        <v>1143</v>
      </c>
      <c r="O90" t="s">
        <v>399</v>
      </c>
      <c r="U90">
        <v>2.363</v>
      </c>
      <c r="V90">
        <v>0.35</v>
      </c>
      <c r="W90">
        <v>0</v>
      </c>
      <c r="X90">
        <v>0.18</v>
      </c>
      <c r="Y90">
        <v>0</v>
      </c>
      <c r="Z90">
        <v>2.8929999999999998</v>
      </c>
      <c r="AA90">
        <v>10</v>
      </c>
      <c r="AB90">
        <v>4.07</v>
      </c>
      <c r="AC90">
        <v>14.41</v>
      </c>
      <c r="AD90">
        <v>39.090000000000003</v>
      </c>
      <c r="AE90">
        <v>5.04</v>
      </c>
      <c r="AI90">
        <v>0</v>
      </c>
      <c r="AJ90">
        <v>0</v>
      </c>
      <c r="AK90">
        <v>0</v>
      </c>
      <c r="AL90">
        <v>0</v>
      </c>
    </row>
    <row r="91" spans="2:38" x14ac:dyDescent="0.2">
      <c r="B91">
        <v>10</v>
      </c>
      <c r="C91">
        <v>6</v>
      </c>
      <c r="D91" t="s">
        <v>24</v>
      </c>
      <c r="E91" t="s">
        <v>326</v>
      </c>
      <c r="F91" t="s">
        <v>677</v>
      </c>
      <c r="G91">
        <v>1</v>
      </c>
      <c r="H91">
        <v>208</v>
      </c>
      <c r="I91">
        <v>492</v>
      </c>
      <c r="J91" t="s">
        <v>1125</v>
      </c>
      <c r="K91" t="s">
        <v>1126</v>
      </c>
      <c r="L91" t="s">
        <v>988</v>
      </c>
      <c r="M91">
        <v>60.26</v>
      </c>
      <c r="N91">
        <v>0</v>
      </c>
      <c r="O91" s="11">
        <v>44372</v>
      </c>
      <c r="P91">
        <v>109164</v>
      </c>
      <c r="Q91">
        <v>35200</v>
      </c>
      <c r="R91">
        <v>745</v>
      </c>
      <c r="S91">
        <v>149</v>
      </c>
      <c r="T91" t="s">
        <v>989</v>
      </c>
      <c r="U91">
        <v>1.5375000000000001</v>
      </c>
      <c r="V91">
        <v>0.35</v>
      </c>
      <c r="W91">
        <v>0.09</v>
      </c>
      <c r="X91">
        <v>0</v>
      </c>
      <c r="Y91">
        <v>0.45</v>
      </c>
      <c r="Z91">
        <v>2.4275000000000002</v>
      </c>
      <c r="AA91">
        <v>22</v>
      </c>
      <c r="AB91">
        <v>11.18</v>
      </c>
      <c r="AC91">
        <v>18.55</v>
      </c>
      <c r="AD91">
        <v>46.32</v>
      </c>
      <c r="AE91">
        <v>7.77</v>
      </c>
      <c r="AG91" t="s">
        <v>1068</v>
      </c>
      <c r="AI91">
        <v>0</v>
      </c>
      <c r="AJ91">
        <v>0</v>
      </c>
      <c r="AK91">
        <v>4</v>
      </c>
      <c r="AL91">
        <v>3.08</v>
      </c>
    </row>
    <row r="92" spans="2:38" x14ac:dyDescent="0.2">
      <c r="B92">
        <v>10</v>
      </c>
      <c r="C92">
        <v>6</v>
      </c>
      <c r="D92" t="s">
        <v>24</v>
      </c>
      <c r="E92" t="s">
        <v>326</v>
      </c>
      <c r="F92" t="s">
        <v>43</v>
      </c>
      <c r="G92">
        <v>27</v>
      </c>
      <c r="H92">
        <v>256</v>
      </c>
      <c r="I92">
        <v>605</v>
      </c>
      <c r="J92" t="s">
        <v>1125</v>
      </c>
      <c r="K92" t="s">
        <v>1126</v>
      </c>
      <c r="L92" t="s">
        <v>988</v>
      </c>
      <c r="M92">
        <v>60.26</v>
      </c>
      <c r="N92">
        <v>0</v>
      </c>
      <c r="O92" s="11">
        <v>44413</v>
      </c>
      <c r="P92">
        <v>104344</v>
      </c>
      <c r="Q92">
        <v>107679</v>
      </c>
      <c r="R92">
        <v>2290</v>
      </c>
      <c r="S92">
        <v>458</v>
      </c>
      <c r="T92" t="s">
        <v>989</v>
      </c>
      <c r="U92">
        <v>2.306</v>
      </c>
      <c r="V92">
        <v>0.35</v>
      </c>
      <c r="W92">
        <v>0.09</v>
      </c>
      <c r="X92">
        <v>0</v>
      </c>
      <c r="Y92">
        <v>0.45</v>
      </c>
      <c r="Z92">
        <v>3.1960000000000002</v>
      </c>
      <c r="AA92">
        <v>109</v>
      </c>
      <c r="AB92">
        <v>57.77</v>
      </c>
      <c r="AC92">
        <v>95.86</v>
      </c>
      <c r="AD92">
        <v>314.93</v>
      </c>
      <c r="AE92">
        <v>42.11</v>
      </c>
      <c r="AF92" t="s">
        <v>1144</v>
      </c>
      <c r="AG92" t="s">
        <v>1121</v>
      </c>
      <c r="AI92">
        <v>2</v>
      </c>
      <c r="AJ92">
        <v>1.27</v>
      </c>
      <c r="AK92">
        <v>24</v>
      </c>
      <c r="AL92">
        <v>16.91</v>
      </c>
    </row>
    <row r="93" spans="2:38" x14ac:dyDescent="0.2">
      <c r="B93">
        <v>0</v>
      </c>
      <c r="C93">
        <v>6</v>
      </c>
      <c r="H93">
        <v>256</v>
      </c>
      <c r="I93">
        <v>606</v>
      </c>
      <c r="J93" t="s">
        <v>1145</v>
      </c>
      <c r="K93" t="s">
        <v>1146</v>
      </c>
      <c r="L93" t="s">
        <v>1147</v>
      </c>
      <c r="O93" t="s">
        <v>399</v>
      </c>
      <c r="U93">
        <v>2.306</v>
      </c>
      <c r="V93">
        <v>0.35</v>
      </c>
      <c r="W93">
        <v>0.09</v>
      </c>
      <c r="X93">
        <v>0</v>
      </c>
      <c r="Y93">
        <v>0.45</v>
      </c>
      <c r="Z93">
        <v>3.1960000000000002</v>
      </c>
      <c r="AA93">
        <v>109</v>
      </c>
      <c r="AB93">
        <v>57.77</v>
      </c>
      <c r="AC93">
        <v>95.85</v>
      </c>
      <c r="AD93">
        <v>314.88</v>
      </c>
      <c r="AE93">
        <v>42.1</v>
      </c>
      <c r="AI93">
        <v>2</v>
      </c>
      <c r="AJ93">
        <v>1.27</v>
      </c>
      <c r="AK93">
        <v>24</v>
      </c>
      <c r="AL93">
        <v>16.91</v>
      </c>
    </row>
    <row r="94" spans="2:38" x14ac:dyDescent="0.2">
      <c r="B94">
        <v>0</v>
      </c>
      <c r="C94">
        <v>6</v>
      </c>
      <c r="H94">
        <v>256</v>
      </c>
      <c r="I94">
        <v>607</v>
      </c>
      <c r="J94" t="s">
        <v>1148</v>
      </c>
      <c r="K94" t="s">
        <v>1149</v>
      </c>
      <c r="L94" t="s">
        <v>1150</v>
      </c>
      <c r="O94" t="s">
        <v>399</v>
      </c>
      <c r="U94">
        <v>2.306</v>
      </c>
      <c r="V94">
        <v>0.35</v>
      </c>
      <c r="W94">
        <v>0.09</v>
      </c>
      <c r="X94">
        <v>0</v>
      </c>
      <c r="Y94">
        <v>0.45</v>
      </c>
      <c r="Z94">
        <v>3.1960000000000002</v>
      </c>
      <c r="AA94">
        <v>103</v>
      </c>
      <c r="AB94">
        <v>51.17</v>
      </c>
      <c r="AC94">
        <v>84.92</v>
      </c>
      <c r="AD94">
        <v>279.95999999999998</v>
      </c>
      <c r="AE94">
        <v>38.28</v>
      </c>
      <c r="AI94">
        <v>2</v>
      </c>
      <c r="AJ94">
        <v>1.27</v>
      </c>
      <c r="AK94">
        <v>24</v>
      </c>
      <c r="AL94">
        <v>16.91</v>
      </c>
    </row>
    <row r="95" spans="2:38" x14ac:dyDescent="0.2">
      <c r="B95">
        <v>0</v>
      </c>
      <c r="C95">
        <v>6</v>
      </c>
      <c r="H95">
        <v>256</v>
      </c>
      <c r="I95">
        <v>604</v>
      </c>
      <c r="J95" t="s">
        <v>1151</v>
      </c>
      <c r="K95" t="s">
        <v>1152</v>
      </c>
      <c r="L95" t="s">
        <v>1153</v>
      </c>
      <c r="O95" t="s">
        <v>399</v>
      </c>
      <c r="U95">
        <v>2.306</v>
      </c>
      <c r="V95">
        <v>0.35</v>
      </c>
      <c r="W95">
        <v>0.09</v>
      </c>
      <c r="X95">
        <v>0</v>
      </c>
      <c r="Y95">
        <v>0.45</v>
      </c>
      <c r="Z95">
        <v>3.1960000000000002</v>
      </c>
      <c r="AA95">
        <v>116</v>
      </c>
      <c r="AB95">
        <v>61.42</v>
      </c>
      <c r="AC95">
        <v>101.92</v>
      </c>
      <c r="AD95">
        <v>238.06</v>
      </c>
      <c r="AE95">
        <v>43.57</v>
      </c>
      <c r="AI95">
        <v>0</v>
      </c>
      <c r="AJ95">
        <v>0</v>
      </c>
      <c r="AK95">
        <v>27</v>
      </c>
      <c r="AL95">
        <v>19.04</v>
      </c>
    </row>
    <row r="96" spans="2:38" x14ac:dyDescent="0.2">
      <c r="B96">
        <v>10</v>
      </c>
      <c r="C96">
        <v>6</v>
      </c>
      <c r="D96" t="s">
        <v>24</v>
      </c>
      <c r="E96" t="s">
        <v>326</v>
      </c>
      <c r="F96" t="s">
        <v>41</v>
      </c>
      <c r="G96">
        <v>11</v>
      </c>
      <c r="H96">
        <v>22</v>
      </c>
      <c r="I96">
        <v>53</v>
      </c>
      <c r="J96" t="s">
        <v>1154</v>
      </c>
      <c r="K96" t="s">
        <v>1155</v>
      </c>
      <c r="L96" t="s">
        <v>1156</v>
      </c>
      <c r="M96">
        <v>63.28</v>
      </c>
      <c r="N96">
        <v>0</v>
      </c>
      <c r="O96" s="11">
        <v>44118</v>
      </c>
      <c r="P96">
        <v>80635</v>
      </c>
      <c r="Q96">
        <v>1000</v>
      </c>
      <c r="R96">
        <v>20</v>
      </c>
      <c r="S96">
        <v>4</v>
      </c>
      <c r="T96" t="s">
        <v>1033</v>
      </c>
      <c r="U96">
        <v>1.131</v>
      </c>
      <c r="V96">
        <v>0.35</v>
      </c>
      <c r="W96">
        <v>0.06</v>
      </c>
      <c r="X96">
        <v>0</v>
      </c>
      <c r="Y96">
        <v>0.45</v>
      </c>
      <c r="Z96">
        <v>1.9910000000000001</v>
      </c>
      <c r="AA96">
        <v>103</v>
      </c>
      <c r="AB96">
        <v>50.4</v>
      </c>
      <c r="AC96">
        <v>79.64</v>
      </c>
      <c r="AD96">
        <v>158.56</v>
      </c>
      <c r="AE96">
        <v>27.87</v>
      </c>
      <c r="AI96">
        <v>0</v>
      </c>
      <c r="AJ96">
        <v>0</v>
      </c>
      <c r="AK96">
        <v>0</v>
      </c>
      <c r="AL96">
        <v>0</v>
      </c>
    </row>
    <row r="97" spans="2:38" x14ac:dyDescent="0.2">
      <c r="B97">
        <v>0</v>
      </c>
      <c r="C97">
        <v>6</v>
      </c>
      <c r="H97">
        <v>22</v>
      </c>
      <c r="I97">
        <v>54</v>
      </c>
      <c r="J97" t="s">
        <v>1157</v>
      </c>
      <c r="K97" t="s">
        <v>1158</v>
      </c>
      <c r="L97" t="s">
        <v>1156</v>
      </c>
      <c r="O97" t="s">
        <v>399</v>
      </c>
      <c r="U97">
        <v>1.131</v>
      </c>
      <c r="V97">
        <v>0.35</v>
      </c>
      <c r="W97">
        <v>0.06</v>
      </c>
      <c r="X97">
        <v>0</v>
      </c>
      <c r="Y97">
        <v>0.45</v>
      </c>
      <c r="Z97">
        <v>1.9910000000000001</v>
      </c>
      <c r="AA97">
        <v>103</v>
      </c>
      <c r="AB97">
        <v>50.4</v>
      </c>
      <c r="AC97">
        <v>79.64</v>
      </c>
      <c r="AD97">
        <v>158.56</v>
      </c>
      <c r="AE97">
        <v>27.87</v>
      </c>
      <c r="AI97">
        <v>0</v>
      </c>
      <c r="AJ97">
        <v>0</v>
      </c>
      <c r="AK97">
        <v>0</v>
      </c>
      <c r="AL97">
        <v>0</v>
      </c>
    </row>
    <row r="98" spans="2:38" x14ac:dyDescent="0.2">
      <c r="B98">
        <v>10</v>
      </c>
      <c r="C98">
        <v>6</v>
      </c>
      <c r="D98" t="s">
        <v>24</v>
      </c>
      <c r="E98" t="s">
        <v>326</v>
      </c>
      <c r="F98" t="s">
        <v>39</v>
      </c>
      <c r="G98">
        <v>11</v>
      </c>
      <c r="H98">
        <v>219</v>
      </c>
      <c r="I98">
        <v>514</v>
      </c>
      <c r="J98" t="s">
        <v>1154</v>
      </c>
      <c r="K98" t="s">
        <v>1155</v>
      </c>
      <c r="L98" t="s">
        <v>1156</v>
      </c>
      <c r="M98">
        <v>63.28</v>
      </c>
      <c r="N98">
        <v>0</v>
      </c>
      <c r="O98" s="11">
        <v>44383</v>
      </c>
      <c r="P98" t="s">
        <v>404</v>
      </c>
      <c r="Q98">
        <v>1000</v>
      </c>
      <c r="R98">
        <v>20</v>
      </c>
      <c r="S98">
        <v>4</v>
      </c>
      <c r="T98" t="s">
        <v>1033</v>
      </c>
      <c r="U98">
        <v>1.0309999999999999</v>
      </c>
      <c r="V98">
        <v>0.35</v>
      </c>
      <c r="W98">
        <v>0.06</v>
      </c>
      <c r="X98">
        <v>0</v>
      </c>
      <c r="Y98">
        <v>0.45</v>
      </c>
      <c r="Z98">
        <v>1.891</v>
      </c>
      <c r="AA98">
        <v>51</v>
      </c>
      <c r="AB98">
        <v>21.44</v>
      </c>
      <c r="AC98">
        <v>33.880000000000003</v>
      </c>
      <c r="AD98">
        <v>64.069999999999993</v>
      </c>
      <c r="AE98">
        <v>11.86</v>
      </c>
      <c r="AI98">
        <v>0</v>
      </c>
      <c r="AJ98">
        <v>0</v>
      </c>
      <c r="AK98">
        <v>0</v>
      </c>
      <c r="AL98">
        <v>0</v>
      </c>
    </row>
    <row r="99" spans="2:38" x14ac:dyDescent="0.2">
      <c r="B99">
        <v>10</v>
      </c>
      <c r="C99">
        <v>6</v>
      </c>
      <c r="D99" t="s">
        <v>24</v>
      </c>
      <c r="E99" t="s">
        <v>326</v>
      </c>
      <c r="F99" t="s">
        <v>34</v>
      </c>
      <c r="G99">
        <v>10</v>
      </c>
      <c r="H99">
        <v>25</v>
      </c>
      <c r="I99">
        <v>58</v>
      </c>
      <c r="J99" t="s">
        <v>1154</v>
      </c>
      <c r="K99" t="s">
        <v>1155</v>
      </c>
      <c r="L99" t="s">
        <v>1156</v>
      </c>
      <c r="M99">
        <v>58</v>
      </c>
      <c r="N99">
        <v>0</v>
      </c>
      <c r="O99" s="11">
        <v>44119</v>
      </c>
      <c r="P99" t="s">
        <v>404</v>
      </c>
      <c r="Q99">
        <v>1000</v>
      </c>
      <c r="R99">
        <v>20</v>
      </c>
      <c r="S99">
        <v>4</v>
      </c>
      <c r="T99" t="s">
        <v>1033</v>
      </c>
      <c r="U99">
        <v>1.073</v>
      </c>
      <c r="V99">
        <v>0.35</v>
      </c>
      <c r="W99">
        <v>0.06</v>
      </c>
      <c r="X99">
        <v>0</v>
      </c>
      <c r="Y99">
        <v>0.45</v>
      </c>
      <c r="Z99">
        <v>1.9330000000000001</v>
      </c>
      <c r="AA99">
        <v>82</v>
      </c>
      <c r="AB99">
        <v>48.15</v>
      </c>
      <c r="AC99">
        <v>83.02</v>
      </c>
      <c r="AD99">
        <v>231.31</v>
      </c>
      <c r="AE99">
        <v>99.88</v>
      </c>
      <c r="AG99" t="s">
        <v>1121</v>
      </c>
      <c r="AH99" t="s">
        <v>1049</v>
      </c>
      <c r="AI99">
        <v>0</v>
      </c>
      <c r="AJ99">
        <v>0</v>
      </c>
      <c r="AK99">
        <v>10</v>
      </c>
      <c r="AL99">
        <v>17.27</v>
      </c>
    </row>
    <row r="100" spans="2:38" x14ac:dyDescent="0.2">
      <c r="B100">
        <v>0</v>
      </c>
      <c r="C100">
        <v>6</v>
      </c>
      <c r="H100">
        <v>25</v>
      </c>
      <c r="I100">
        <v>59</v>
      </c>
      <c r="J100" t="s">
        <v>1159</v>
      </c>
      <c r="K100" t="s">
        <v>1160</v>
      </c>
      <c r="L100" t="s">
        <v>1156</v>
      </c>
      <c r="O100" t="s">
        <v>399</v>
      </c>
      <c r="U100">
        <v>1.073</v>
      </c>
      <c r="V100">
        <v>0.35</v>
      </c>
      <c r="W100">
        <v>0.06</v>
      </c>
      <c r="X100">
        <v>0</v>
      </c>
      <c r="Y100">
        <v>0.45</v>
      </c>
      <c r="Z100">
        <v>1.9330000000000001</v>
      </c>
      <c r="AA100">
        <v>82</v>
      </c>
      <c r="AB100">
        <v>48.15</v>
      </c>
      <c r="AC100">
        <v>83.02</v>
      </c>
      <c r="AD100">
        <v>239.61</v>
      </c>
      <c r="AE100">
        <v>99.88</v>
      </c>
      <c r="AI100">
        <v>0</v>
      </c>
      <c r="AJ100">
        <v>0</v>
      </c>
      <c r="AK100">
        <v>10</v>
      </c>
      <c r="AL100">
        <v>17.27</v>
      </c>
    </row>
    <row r="101" spans="2:38" x14ac:dyDescent="0.2">
      <c r="B101">
        <v>10</v>
      </c>
      <c r="C101">
        <v>6</v>
      </c>
      <c r="D101" t="s">
        <v>24</v>
      </c>
      <c r="E101" t="s">
        <v>326</v>
      </c>
      <c r="F101" t="s">
        <v>32</v>
      </c>
      <c r="G101">
        <v>21</v>
      </c>
      <c r="H101">
        <v>234</v>
      </c>
      <c r="I101">
        <v>550</v>
      </c>
      <c r="J101" t="s">
        <v>1132</v>
      </c>
      <c r="K101" t="s">
        <v>1133</v>
      </c>
      <c r="L101" t="s">
        <v>1134</v>
      </c>
      <c r="M101">
        <v>52.24</v>
      </c>
      <c r="N101">
        <v>0</v>
      </c>
      <c r="O101" s="11">
        <v>44389</v>
      </c>
      <c r="P101">
        <v>103986</v>
      </c>
      <c r="Q101">
        <v>15333</v>
      </c>
      <c r="R101">
        <v>325</v>
      </c>
      <c r="S101">
        <v>65</v>
      </c>
      <c r="T101" t="s">
        <v>989</v>
      </c>
      <c r="U101">
        <v>1.4159999999999999</v>
      </c>
      <c r="V101">
        <v>0.35</v>
      </c>
      <c r="W101">
        <v>4.2000000000000003E-2</v>
      </c>
      <c r="X101">
        <v>0</v>
      </c>
      <c r="Y101">
        <v>0.45</v>
      </c>
      <c r="Z101">
        <v>2.258</v>
      </c>
      <c r="AA101">
        <v>68</v>
      </c>
      <c r="AB101">
        <v>35.24</v>
      </c>
      <c r="AC101">
        <v>67.45</v>
      </c>
      <c r="AD101">
        <v>150.5</v>
      </c>
      <c r="AE101">
        <v>23.33</v>
      </c>
      <c r="AI101">
        <v>0</v>
      </c>
      <c r="AJ101">
        <v>0</v>
      </c>
      <c r="AK101">
        <v>0</v>
      </c>
      <c r="AL101">
        <v>0</v>
      </c>
    </row>
    <row r="102" spans="2:38" x14ac:dyDescent="0.2">
      <c r="B102">
        <v>0</v>
      </c>
      <c r="C102">
        <v>6</v>
      </c>
      <c r="H102">
        <v>234</v>
      </c>
      <c r="I102">
        <v>549</v>
      </c>
      <c r="J102" t="s">
        <v>1125</v>
      </c>
      <c r="K102" t="s">
        <v>1126</v>
      </c>
      <c r="L102" t="s">
        <v>988</v>
      </c>
      <c r="O102" t="s">
        <v>399</v>
      </c>
      <c r="U102">
        <v>1.4159999999999999</v>
      </c>
      <c r="V102">
        <v>0.35</v>
      </c>
      <c r="W102">
        <v>4.2000000000000003E-2</v>
      </c>
      <c r="X102">
        <v>0</v>
      </c>
      <c r="Y102">
        <v>0.45</v>
      </c>
      <c r="Z102">
        <v>2.258</v>
      </c>
      <c r="AA102">
        <v>61</v>
      </c>
      <c r="AB102">
        <v>29.8</v>
      </c>
      <c r="AC102">
        <v>50.27</v>
      </c>
      <c r="AD102">
        <v>113.52</v>
      </c>
      <c r="AE102">
        <v>17.600000000000001</v>
      </c>
      <c r="AI102">
        <v>0</v>
      </c>
      <c r="AJ102">
        <v>0</v>
      </c>
      <c r="AK102">
        <v>0</v>
      </c>
      <c r="AL102">
        <v>0</v>
      </c>
    </row>
    <row r="103" spans="2:38" x14ac:dyDescent="0.2">
      <c r="B103">
        <v>10</v>
      </c>
      <c r="C103">
        <v>6</v>
      </c>
      <c r="D103" t="s">
        <v>24</v>
      </c>
      <c r="E103" t="s">
        <v>326</v>
      </c>
      <c r="F103" t="s">
        <v>30</v>
      </c>
      <c r="G103">
        <v>10</v>
      </c>
      <c r="H103">
        <v>37</v>
      </c>
      <c r="I103">
        <v>91</v>
      </c>
      <c r="J103" t="s">
        <v>1148</v>
      </c>
      <c r="K103" t="s">
        <v>1149</v>
      </c>
      <c r="L103" t="s">
        <v>1150</v>
      </c>
      <c r="M103">
        <v>58.5</v>
      </c>
      <c r="N103">
        <v>0</v>
      </c>
      <c r="O103" s="11">
        <v>44137</v>
      </c>
      <c r="P103">
        <v>103986</v>
      </c>
      <c r="Q103">
        <v>6600</v>
      </c>
      <c r="R103">
        <v>140</v>
      </c>
      <c r="S103">
        <v>28</v>
      </c>
      <c r="T103" t="s">
        <v>989</v>
      </c>
      <c r="U103">
        <v>1.4159999999999999</v>
      </c>
      <c r="V103">
        <v>0.35</v>
      </c>
      <c r="W103">
        <v>4.2500000000000003E-2</v>
      </c>
      <c r="X103">
        <v>0</v>
      </c>
      <c r="Y103">
        <v>0.45</v>
      </c>
      <c r="Z103">
        <v>2.2585000000000002</v>
      </c>
      <c r="AA103">
        <v>51</v>
      </c>
      <c r="AB103">
        <v>29.55</v>
      </c>
      <c r="AC103">
        <v>50.51</v>
      </c>
      <c r="AD103">
        <v>129.57</v>
      </c>
      <c r="AE103">
        <v>33.17</v>
      </c>
      <c r="AF103" t="s">
        <v>1161</v>
      </c>
      <c r="AG103" t="s">
        <v>1121</v>
      </c>
      <c r="AI103">
        <v>8</v>
      </c>
      <c r="AJ103">
        <v>5.6</v>
      </c>
      <c r="AK103">
        <v>17</v>
      </c>
      <c r="AL103">
        <v>13.61</v>
      </c>
    </row>
    <row r="104" spans="2:38" x14ac:dyDescent="0.2">
      <c r="B104">
        <v>0</v>
      </c>
      <c r="C104">
        <v>6</v>
      </c>
      <c r="H104">
        <v>37</v>
      </c>
      <c r="I104">
        <v>92</v>
      </c>
      <c r="J104" t="s">
        <v>1151</v>
      </c>
      <c r="K104" t="s">
        <v>1152</v>
      </c>
      <c r="L104" t="s">
        <v>1153</v>
      </c>
      <c r="O104" t="s">
        <v>399</v>
      </c>
      <c r="U104">
        <v>1.4159999999999999</v>
      </c>
      <c r="V104">
        <v>0.35</v>
      </c>
      <c r="W104">
        <v>4.2500000000000003E-2</v>
      </c>
      <c r="X104">
        <v>0</v>
      </c>
      <c r="Y104">
        <v>0.45</v>
      </c>
      <c r="Z104">
        <v>2.2585000000000002</v>
      </c>
      <c r="AA104">
        <v>51</v>
      </c>
      <c r="AB104">
        <v>29.55</v>
      </c>
      <c r="AC104">
        <v>50.51</v>
      </c>
      <c r="AD104">
        <v>129.57</v>
      </c>
      <c r="AE104">
        <v>33.17</v>
      </c>
      <c r="AI104">
        <v>8</v>
      </c>
      <c r="AJ104">
        <v>5.6</v>
      </c>
      <c r="AK104">
        <v>17</v>
      </c>
      <c r="AL104">
        <v>13.61</v>
      </c>
    </row>
    <row r="105" spans="2:38" x14ac:dyDescent="0.2">
      <c r="B105">
        <v>0</v>
      </c>
      <c r="C105">
        <v>6</v>
      </c>
      <c r="H105">
        <v>37</v>
      </c>
      <c r="I105">
        <v>89</v>
      </c>
      <c r="J105" t="s">
        <v>1145</v>
      </c>
      <c r="K105" t="s">
        <v>1146</v>
      </c>
      <c r="L105" t="s">
        <v>1147</v>
      </c>
      <c r="O105" t="s">
        <v>399</v>
      </c>
      <c r="U105">
        <v>1.4159999999999999</v>
      </c>
      <c r="V105">
        <v>0.35</v>
      </c>
      <c r="W105">
        <v>4.2500000000000003E-2</v>
      </c>
      <c r="X105">
        <v>0</v>
      </c>
      <c r="Y105">
        <v>0.45</v>
      </c>
      <c r="Z105">
        <v>2.2585000000000002</v>
      </c>
      <c r="AA105">
        <v>51</v>
      </c>
      <c r="AB105">
        <v>29.55</v>
      </c>
      <c r="AC105">
        <v>50.51</v>
      </c>
      <c r="AD105">
        <v>129.57</v>
      </c>
      <c r="AE105">
        <v>33.17</v>
      </c>
      <c r="AI105">
        <v>8</v>
      </c>
      <c r="AJ105">
        <v>5.6</v>
      </c>
      <c r="AK105">
        <v>17</v>
      </c>
      <c r="AL105">
        <v>13.61</v>
      </c>
    </row>
    <row r="106" spans="2:38" x14ac:dyDescent="0.2">
      <c r="B106">
        <v>0</v>
      </c>
      <c r="C106">
        <v>6</v>
      </c>
      <c r="H106">
        <v>37</v>
      </c>
      <c r="I106">
        <v>88</v>
      </c>
      <c r="J106" t="s">
        <v>1125</v>
      </c>
      <c r="K106" t="s">
        <v>1126</v>
      </c>
      <c r="L106" t="s">
        <v>988</v>
      </c>
      <c r="O106" t="s">
        <v>399</v>
      </c>
      <c r="U106">
        <v>1.4159999999999999</v>
      </c>
      <c r="V106">
        <v>0.35</v>
      </c>
      <c r="W106">
        <v>4.2500000000000003E-2</v>
      </c>
      <c r="X106">
        <v>0</v>
      </c>
      <c r="Y106">
        <v>0.45</v>
      </c>
      <c r="Z106">
        <v>2.2585000000000002</v>
      </c>
      <c r="AA106">
        <v>51</v>
      </c>
      <c r="AB106">
        <v>29.55</v>
      </c>
      <c r="AC106">
        <v>50.51</v>
      </c>
      <c r="AD106">
        <v>129.57</v>
      </c>
      <c r="AE106">
        <v>33.17</v>
      </c>
      <c r="AI106">
        <v>8</v>
      </c>
      <c r="AJ106">
        <v>5.6</v>
      </c>
      <c r="AK106">
        <v>17</v>
      </c>
      <c r="AL106">
        <v>13.61</v>
      </c>
    </row>
    <row r="107" spans="2:38" x14ac:dyDescent="0.2">
      <c r="B107">
        <v>10</v>
      </c>
      <c r="C107">
        <v>6</v>
      </c>
      <c r="D107" t="s">
        <v>24</v>
      </c>
      <c r="E107" t="s">
        <v>348</v>
      </c>
      <c r="F107" t="s">
        <v>28</v>
      </c>
      <c r="G107">
        <v>9</v>
      </c>
      <c r="H107">
        <v>75</v>
      </c>
      <c r="I107">
        <v>179</v>
      </c>
      <c r="J107" t="s">
        <v>1125</v>
      </c>
      <c r="K107" t="s">
        <v>1126</v>
      </c>
      <c r="L107" t="s">
        <v>988</v>
      </c>
      <c r="M107">
        <v>54</v>
      </c>
      <c r="N107">
        <v>0</v>
      </c>
      <c r="O107" s="11">
        <v>44175</v>
      </c>
      <c r="P107">
        <v>84226</v>
      </c>
      <c r="Q107">
        <v>1000</v>
      </c>
      <c r="R107">
        <v>20</v>
      </c>
      <c r="S107">
        <v>4</v>
      </c>
      <c r="T107" t="s">
        <v>989</v>
      </c>
      <c r="U107">
        <v>1.4159999999999999</v>
      </c>
      <c r="V107">
        <v>0.35</v>
      </c>
      <c r="W107">
        <v>4.2500000000000003E-2</v>
      </c>
      <c r="X107">
        <v>0</v>
      </c>
      <c r="Y107">
        <v>0.45</v>
      </c>
      <c r="Z107">
        <v>2.2585000000000002</v>
      </c>
      <c r="AA107">
        <v>57</v>
      </c>
      <c r="AB107">
        <v>20.73</v>
      </c>
      <c r="AC107">
        <v>38.39</v>
      </c>
      <c r="AD107">
        <v>86.72</v>
      </c>
      <c r="AE107">
        <v>13.44</v>
      </c>
      <c r="AI107">
        <v>0</v>
      </c>
      <c r="AJ107">
        <v>0</v>
      </c>
      <c r="AK107">
        <v>0</v>
      </c>
      <c r="AL107">
        <v>0</v>
      </c>
    </row>
    <row r="108" spans="2:38" x14ac:dyDescent="0.2">
      <c r="B108">
        <v>10</v>
      </c>
      <c r="C108">
        <v>6</v>
      </c>
      <c r="D108" t="s">
        <v>24</v>
      </c>
      <c r="E108" t="s">
        <v>326</v>
      </c>
      <c r="F108" t="s">
        <v>22</v>
      </c>
      <c r="G108">
        <v>18</v>
      </c>
      <c r="H108">
        <v>103</v>
      </c>
      <c r="I108">
        <v>241</v>
      </c>
      <c r="J108" t="s">
        <v>1162</v>
      </c>
      <c r="K108" t="s">
        <v>1163</v>
      </c>
      <c r="L108" t="s">
        <v>1164</v>
      </c>
      <c r="M108">
        <v>45</v>
      </c>
      <c r="N108">
        <v>35</v>
      </c>
      <c r="O108" s="11">
        <v>44195</v>
      </c>
      <c r="P108">
        <v>999999999</v>
      </c>
      <c r="Q108">
        <v>500</v>
      </c>
      <c r="R108">
        <v>10</v>
      </c>
      <c r="S108">
        <v>2</v>
      </c>
      <c r="T108" t="s">
        <v>989</v>
      </c>
      <c r="U108">
        <v>1.25</v>
      </c>
      <c r="V108">
        <v>0.6</v>
      </c>
      <c r="W108">
        <v>0</v>
      </c>
      <c r="X108">
        <v>0</v>
      </c>
      <c r="Y108">
        <v>0</v>
      </c>
      <c r="Z108">
        <v>1.85</v>
      </c>
      <c r="AA108">
        <v>4</v>
      </c>
      <c r="AB108">
        <v>8.1999999999999993</v>
      </c>
      <c r="AC108">
        <v>23.44</v>
      </c>
      <c r="AD108">
        <v>57.6</v>
      </c>
      <c r="AE108">
        <v>28.31</v>
      </c>
      <c r="AF108" t="s">
        <v>1165</v>
      </c>
      <c r="AG108" t="s">
        <v>1121</v>
      </c>
      <c r="AI108">
        <v>3</v>
      </c>
      <c r="AJ108">
        <v>6.4</v>
      </c>
      <c r="AK108">
        <v>1</v>
      </c>
      <c r="AL108">
        <v>2.2000000000000002</v>
      </c>
    </row>
    <row r="109" spans="2:38" x14ac:dyDescent="0.2">
      <c r="B109">
        <v>0</v>
      </c>
      <c r="C109">
        <v>6</v>
      </c>
      <c r="H109">
        <v>103</v>
      </c>
      <c r="I109">
        <v>242</v>
      </c>
      <c r="J109" t="s">
        <v>1000</v>
      </c>
      <c r="K109" t="s">
        <v>1001</v>
      </c>
      <c r="L109" t="s">
        <v>1002</v>
      </c>
      <c r="O109" t="s">
        <v>399</v>
      </c>
      <c r="U109">
        <v>1.25</v>
      </c>
      <c r="V109">
        <v>0.6</v>
      </c>
      <c r="W109">
        <v>0</v>
      </c>
      <c r="X109">
        <v>0</v>
      </c>
      <c r="Y109">
        <v>0</v>
      </c>
      <c r="Z109">
        <v>1.85</v>
      </c>
      <c r="AA109">
        <v>4</v>
      </c>
      <c r="AB109">
        <v>8.1999999999999993</v>
      </c>
      <c r="AC109">
        <v>18.23</v>
      </c>
      <c r="AD109">
        <v>47.97</v>
      </c>
      <c r="AE109">
        <v>25.18</v>
      </c>
      <c r="AI109">
        <v>3</v>
      </c>
      <c r="AJ109">
        <v>6.4</v>
      </c>
      <c r="AK109">
        <v>1</v>
      </c>
      <c r="AL109">
        <v>2.2000000000000002</v>
      </c>
    </row>
    <row r="110" spans="2:38" x14ac:dyDescent="0.2">
      <c r="B110">
        <v>10</v>
      </c>
      <c r="C110">
        <v>7</v>
      </c>
      <c r="D110" t="s">
        <v>15</v>
      </c>
      <c r="E110" t="s">
        <v>346</v>
      </c>
      <c r="F110" t="s">
        <v>13</v>
      </c>
      <c r="G110">
        <v>8</v>
      </c>
      <c r="H110">
        <v>257</v>
      </c>
      <c r="I110">
        <v>608</v>
      </c>
      <c r="J110" t="s">
        <v>1100</v>
      </c>
      <c r="K110" t="s">
        <v>1101</v>
      </c>
      <c r="L110" t="s">
        <v>1102</v>
      </c>
      <c r="M110">
        <v>40</v>
      </c>
      <c r="N110">
        <v>0</v>
      </c>
      <c r="O110" s="11">
        <v>44413</v>
      </c>
      <c r="P110" t="s">
        <v>706</v>
      </c>
      <c r="Q110">
        <v>10000</v>
      </c>
      <c r="R110">
        <v>210</v>
      </c>
      <c r="S110">
        <v>42</v>
      </c>
      <c r="T110" t="s">
        <v>989</v>
      </c>
      <c r="U110">
        <v>2.0329999999999999</v>
      </c>
      <c r="V110">
        <v>0.35</v>
      </c>
      <c r="W110">
        <v>0</v>
      </c>
      <c r="X110">
        <v>0.18</v>
      </c>
      <c r="Y110">
        <v>0</v>
      </c>
      <c r="Z110">
        <v>2.5630000000000002</v>
      </c>
      <c r="AA110">
        <v>3</v>
      </c>
      <c r="AB110">
        <v>1.37</v>
      </c>
      <c r="AC110">
        <v>3.42</v>
      </c>
      <c r="AD110">
        <v>8.76</v>
      </c>
      <c r="AE110">
        <v>1.2</v>
      </c>
      <c r="AI110">
        <v>0</v>
      </c>
      <c r="AJ110">
        <v>0</v>
      </c>
      <c r="AK110">
        <v>0</v>
      </c>
      <c r="AL110">
        <v>0</v>
      </c>
    </row>
    <row r="111" spans="2:38" x14ac:dyDescent="0.2">
      <c r="B111">
        <v>10</v>
      </c>
      <c r="C111">
        <v>8</v>
      </c>
      <c r="D111" t="s">
        <v>12</v>
      </c>
      <c r="E111" t="s">
        <v>10</v>
      </c>
      <c r="F111" t="s">
        <v>10</v>
      </c>
      <c r="G111">
        <v>5</v>
      </c>
      <c r="H111">
        <v>202</v>
      </c>
      <c r="I111">
        <v>475</v>
      </c>
      <c r="J111" t="s">
        <v>1145</v>
      </c>
      <c r="K111" t="s">
        <v>1146</v>
      </c>
      <c r="L111" t="s">
        <v>1147</v>
      </c>
      <c r="M111">
        <v>35</v>
      </c>
      <c r="N111">
        <v>0</v>
      </c>
      <c r="O111" s="11">
        <v>44362</v>
      </c>
      <c r="P111" t="s">
        <v>404</v>
      </c>
      <c r="Q111">
        <v>35035</v>
      </c>
      <c r="R111">
        <v>745</v>
      </c>
      <c r="S111">
        <v>149</v>
      </c>
      <c r="T111" t="s">
        <v>989</v>
      </c>
      <c r="U111">
        <v>1.91</v>
      </c>
      <c r="V111">
        <v>0.4</v>
      </c>
      <c r="W111">
        <v>0</v>
      </c>
      <c r="X111">
        <v>0</v>
      </c>
      <c r="Y111">
        <v>0</v>
      </c>
      <c r="Z111">
        <v>2.31</v>
      </c>
      <c r="AA111">
        <v>6</v>
      </c>
      <c r="AB111">
        <v>4.32</v>
      </c>
      <c r="AC111">
        <v>12.35</v>
      </c>
      <c r="AD111">
        <v>35</v>
      </c>
      <c r="AE111">
        <v>11.42</v>
      </c>
      <c r="AF111" t="s">
        <v>1166</v>
      </c>
      <c r="AH111" t="s">
        <v>1167</v>
      </c>
      <c r="AI111">
        <v>6</v>
      </c>
      <c r="AJ111">
        <v>4.32</v>
      </c>
      <c r="AK111">
        <v>0</v>
      </c>
      <c r="AL111">
        <v>0</v>
      </c>
    </row>
    <row r="112" spans="2:38" x14ac:dyDescent="0.2">
      <c r="B112">
        <v>0</v>
      </c>
      <c r="C112">
        <v>8</v>
      </c>
      <c r="H112">
        <v>202</v>
      </c>
      <c r="I112">
        <v>474</v>
      </c>
      <c r="J112" t="s">
        <v>1125</v>
      </c>
      <c r="K112" t="s">
        <v>1126</v>
      </c>
      <c r="L112" t="s">
        <v>988</v>
      </c>
      <c r="O112" t="s">
        <v>399</v>
      </c>
      <c r="U112">
        <v>1.91</v>
      </c>
      <c r="V112">
        <v>0.4</v>
      </c>
      <c r="W112">
        <v>0</v>
      </c>
      <c r="X112">
        <v>0</v>
      </c>
      <c r="Y112">
        <v>0</v>
      </c>
      <c r="Z112">
        <v>2.31</v>
      </c>
      <c r="AA112">
        <v>6</v>
      </c>
      <c r="AB112">
        <v>4.32</v>
      </c>
      <c r="AC112">
        <v>12.35</v>
      </c>
      <c r="AD112">
        <v>35</v>
      </c>
      <c r="AE112">
        <v>11.42</v>
      </c>
      <c r="AI112">
        <v>6</v>
      </c>
      <c r="AJ112">
        <v>4.32</v>
      </c>
      <c r="AK112">
        <v>0</v>
      </c>
      <c r="AL112">
        <v>0</v>
      </c>
    </row>
    <row r="113" spans="2:38" x14ac:dyDescent="0.2">
      <c r="B113">
        <v>0</v>
      </c>
      <c r="C113">
        <v>8</v>
      </c>
      <c r="H113">
        <v>202</v>
      </c>
      <c r="I113">
        <v>473</v>
      </c>
      <c r="J113" t="s">
        <v>1130</v>
      </c>
      <c r="K113" t="s">
        <v>1131</v>
      </c>
      <c r="L113" t="s">
        <v>992</v>
      </c>
      <c r="O113" t="s">
        <v>399</v>
      </c>
      <c r="U113">
        <v>1.91</v>
      </c>
      <c r="V113">
        <v>0.4</v>
      </c>
      <c r="W113">
        <v>0</v>
      </c>
      <c r="X113">
        <v>0</v>
      </c>
      <c r="Y113">
        <v>0</v>
      </c>
      <c r="Z113">
        <v>2.31</v>
      </c>
      <c r="AA113">
        <v>6</v>
      </c>
      <c r="AB113">
        <v>4.32</v>
      </c>
      <c r="AC113">
        <v>12.35</v>
      </c>
      <c r="AD113">
        <v>35</v>
      </c>
      <c r="AE113">
        <v>11.42</v>
      </c>
      <c r="AI113">
        <v>6</v>
      </c>
      <c r="AJ113">
        <v>4.32</v>
      </c>
      <c r="AK113">
        <v>0</v>
      </c>
      <c r="AL113">
        <v>0</v>
      </c>
    </row>
    <row r="114" spans="2:38" x14ac:dyDescent="0.2">
      <c r="B114">
        <v>0</v>
      </c>
      <c r="C114">
        <v>8</v>
      </c>
      <c r="H114">
        <v>202</v>
      </c>
      <c r="I114">
        <v>476</v>
      </c>
      <c r="J114" t="s">
        <v>1168</v>
      </c>
      <c r="K114" t="s">
        <v>994</v>
      </c>
      <c r="L114" t="s">
        <v>995</v>
      </c>
      <c r="O114" t="s">
        <v>399</v>
      </c>
      <c r="U114">
        <v>1.91</v>
      </c>
      <c r="V114">
        <v>0.4</v>
      </c>
      <c r="W114">
        <v>0</v>
      </c>
      <c r="X114">
        <v>0</v>
      </c>
      <c r="Y114">
        <v>0</v>
      </c>
      <c r="Z114">
        <v>2.31</v>
      </c>
      <c r="AA114">
        <v>6</v>
      </c>
      <c r="AB114">
        <v>4.32</v>
      </c>
      <c r="AC114">
        <v>12.35</v>
      </c>
      <c r="AD114">
        <v>35</v>
      </c>
      <c r="AE114">
        <v>11.42</v>
      </c>
      <c r="AI114">
        <v>6</v>
      </c>
      <c r="AJ114">
        <v>4.32</v>
      </c>
      <c r="AK114">
        <v>0</v>
      </c>
      <c r="AL114">
        <v>0</v>
      </c>
    </row>
    <row r="115" spans="2:38" x14ac:dyDescent="0.2">
      <c r="B115">
        <v>10</v>
      </c>
      <c r="C115">
        <v>9</v>
      </c>
      <c r="D115" t="s">
        <v>7</v>
      </c>
      <c r="E115" t="s">
        <v>327</v>
      </c>
      <c r="F115" t="s">
        <v>712</v>
      </c>
      <c r="G115">
        <v>2</v>
      </c>
      <c r="H115">
        <v>271</v>
      </c>
      <c r="I115">
        <v>636</v>
      </c>
      <c r="J115" t="s">
        <v>996</v>
      </c>
      <c r="K115" t="s">
        <v>997</v>
      </c>
      <c r="L115" t="s">
        <v>998</v>
      </c>
      <c r="M115">
        <v>30</v>
      </c>
      <c r="N115">
        <v>0</v>
      </c>
      <c r="O115" s="11">
        <v>44422</v>
      </c>
      <c r="P115" t="s">
        <v>404</v>
      </c>
      <c r="Q115">
        <v>10000</v>
      </c>
      <c r="R115">
        <v>210</v>
      </c>
      <c r="S115">
        <v>42</v>
      </c>
      <c r="T115" t="s">
        <v>999</v>
      </c>
      <c r="U115">
        <v>3.55</v>
      </c>
      <c r="V115">
        <v>0.4</v>
      </c>
      <c r="W115">
        <v>0</v>
      </c>
      <c r="X115">
        <v>0</v>
      </c>
      <c r="Y115">
        <v>0</v>
      </c>
      <c r="Z115">
        <v>3.95</v>
      </c>
      <c r="AA115">
        <v>4</v>
      </c>
      <c r="AB115">
        <v>4.16</v>
      </c>
      <c r="AC115">
        <v>13.88</v>
      </c>
      <c r="AD115">
        <v>58.8</v>
      </c>
      <c r="AE115">
        <v>9.52</v>
      </c>
      <c r="AF115" t="s">
        <v>1169</v>
      </c>
      <c r="AH115" t="s">
        <v>1170</v>
      </c>
      <c r="AI115">
        <v>2</v>
      </c>
      <c r="AJ115">
        <v>2</v>
      </c>
      <c r="AK115">
        <v>0</v>
      </c>
      <c r="AL115">
        <v>0</v>
      </c>
    </row>
    <row r="116" spans="2:38" x14ac:dyDescent="0.2">
      <c r="B116">
        <v>0</v>
      </c>
      <c r="C116">
        <v>9</v>
      </c>
      <c r="H116">
        <v>271</v>
      </c>
      <c r="I116">
        <v>637</v>
      </c>
      <c r="J116" t="s">
        <v>1000</v>
      </c>
      <c r="K116" t="s">
        <v>1001</v>
      </c>
      <c r="L116" t="s">
        <v>1002</v>
      </c>
      <c r="O116" t="s">
        <v>399</v>
      </c>
      <c r="U116">
        <v>3.55</v>
      </c>
      <c r="V116">
        <v>0.4</v>
      </c>
      <c r="W116">
        <v>0</v>
      </c>
      <c r="X116">
        <v>0</v>
      </c>
      <c r="Y116">
        <v>0</v>
      </c>
      <c r="Z116">
        <v>3.95</v>
      </c>
      <c r="AA116">
        <v>4</v>
      </c>
      <c r="AB116">
        <v>4.16</v>
      </c>
      <c r="AC116">
        <v>13.88</v>
      </c>
      <c r="AD116">
        <v>58.8</v>
      </c>
      <c r="AE116">
        <v>9.52</v>
      </c>
      <c r="AI116">
        <v>2</v>
      </c>
      <c r="AJ116">
        <v>2</v>
      </c>
      <c r="AK116">
        <v>0</v>
      </c>
      <c r="AL116">
        <v>0</v>
      </c>
    </row>
    <row r="117" spans="2:38" x14ac:dyDescent="0.2">
      <c r="B117">
        <v>10</v>
      </c>
      <c r="C117">
        <v>9</v>
      </c>
      <c r="D117" t="s">
        <v>7</v>
      </c>
      <c r="E117" t="s">
        <v>327</v>
      </c>
      <c r="F117" t="s">
        <v>716</v>
      </c>
      <c r="G117">
        <v>2</v>
      </c>
      <c r="H117">
        <v>272</v>
      </c>
      <c r="I117">
        <v>638</v>
      </c>
      <c r="J117" t="s">
        <v>1000</v>
      </c>
      <c r="K117" t="s">
        <v>1001</v>
      </c>
      <c r="L117" t="s">
        <v>1002</v>
      </c>
      <c r="M117">
        <v>30</v>
      </c>
      <c r="N117">
        <v>25</v>
      </c>
      <c r="O117" s="11">
        <v>44422</v>
      </c>
      <c r="P117" s="11">
        <v>44418</v>
      </c>
      <c r="Q117">
        <v>10000</v>
      </c>
      <c r="R117">
        <v>210</v>
      </c>
      <c r="S117">
        <v>42</v>
      </c>
      <c r="T117" t="s">
        <v>999</v>
      </c>
      <c r="U117">
        <v>3.55</v>
      </c>
      <c r="V117">
        <v>0.4</v>
      </c>
      <c r="W117">
        <v>0</v>
      </c>
      <c r="X117">
        <v>0</v>
      </c>
      <c r="Y117">
        <v>0</v>
      </c>
      <c r="Z117">
        <v>3.95</v>
      </c>
      <c r="AA117">
        <v>18</v>
      </c>
      <c r="AB117">
        <v>16.600000000000001</v>
      </c>
      <c r="AC117">
        <v>55.33</v>
      </c>
      <c r="AD117">
        <v>234.53</v>
      </c>
      <c r="AE117">
        <v>38.1</v>
      </c>
      <c r="AF117" t="s">
        <v>1171</v>
      </c>
      <c r="AH117" t="s">
        <v>1170</v>
      </c>
      <c r="AI117">
        <v>6</v>
      </c>
      <c r="AJ117">
        <v>7.64</v>
      </c>
      <c r="AK117">
        <v>0</v>
      </c>
      <c r="AL117">
        <v>0</v>
      </c>
    </row>
    <row r="118" spans="2:38" x14ac:dyDescent="0.2">
      <c r="B118">
        <v>0</v>
      </c>
      <c r="C118">
        <v>9</v>
      </c>
      <c r="H118">
        <v>272</v>
      </c>
      <c r="I118">
        <v>639</v>
      </c>
      <c r="J118" t="s">
        <v>996</v>
      </c>
      <c r="K118" t="s">
        <v>997</v>
      </c>
      <c r="L118" t="s">
        <v>998</v>
      </c>
      <c r="O118" t="s">
        <v>399</v>
      </c>
      <c r="U118">
        <v>3.55</v>
      </c>
      <c r="V118">
        <v>0.4</v>
      </c>
      <c r="W118">
        <v>0</v>
      </c>
      <c r="X118">
        <v>0</v>
      </c>
      <c r="Y118">
        <v>0</v>
      </c>
      <c r="Z118">
        <v>3.95</v>
      </c>
      <c r="AA118">
        <v>18</v>
      </c>
      <c r="AB118">
        <v>16.600000000000001</v>
      </c>
      <c r="AC118">
        <v>55.33</v>
      </c>
      <c r="AD118">
        <v>234.53</v>
      </c>
      <c r="AE118">
        <v>38.1</v>
      </c>
      <c r="AI118">
        <v>6</v>
      </c>
      <c r="AJ118">
        <v>7.64</v>
      </c>
      <c r="AK118">
        <v>0</v>
      </c>
      <c r="AL118">
        <v>0</v>
      </c>
    </row>
    <row r="119" spans="2:38" x14ac:dyDescent="0.2">
      <c r="B119">
        <v>10</v>
      </c>
      <c r="C119">
        <v>10</v>
      </c>
      <c r="D119" t="s">
        <v>2</v>
      </c>
      <c r="E119" t="s">
        <v>324</v>
      </c>
      <c r="F119" t="s">
        <v>3</v>
      </c>
      <c r="G119">
        <v>9</v>
      </c>
      <c r="H119">
        <v>262</v>
      </c>
      <c r="I119">
        <v>618</v>
      </c>
      <c r="J119" t="s">
        <v>996</v>
      </c>
      <c r="K119" t="s">
        <v>997</v>
      </c>
      <c r="L119" t="s">
        <v>998</v>
      </c>
      <c r="M119">
        <v>30</v>
      </c>
      <c r="N119">
        <v>25</v>
      </c>
      <c r="O119" s="11">
        <v>44419</v>
      </c>
      <c r="P119" t="s">
        <v>404</v>
      </c>
      <c r="Q119">
        <v>30000</v>
      </c>
      <c r="R119">
        <v>635</v>
      </c>
      <c r="S119">
        <v>127</v>
      </c>
      <c r="T119" t="s">
        <v>999</v>
      </c>
      <c r="U119">
        <v>3.55</v>
      </c>
      <c r="V119">
        <v>0.4</v>
      </c>
      <c r="W119">
        <v>0</v>
      </c>
      <c r="X119">
        <v>0</v>
      </c>
      <c r="Y119">
        <v>0</v>
      </c>
      <c r="Z119">
        <v>3.95</v>
      </c>
      <c r="AA119">
        <v>12</v>
      </c>
      <c r="AB119">
        <v>8.9</v>
      </c>
      <c r="AC119">
        <v>29.68</v>
      </c>
      <c r="AD119">
        <v>130.13999999999999</v>
      </c>
      <c r="AE119">
        <v>24.76</v>
      </c>
      <c r="AF119" t="s">
        <v>1171</v>
      </c>
      <c r="AH119" t="s">
        <v>1170</v>
      </c>
      <c r="AI119">
        <v>10</v>
      </c>
      <c r="AJ119">
        <v>6.74</v>
      </c>
      <c r="AK119">
        <v>0</v>
      </c>
      <c r="AL119">
        <v>0</v>
      </c>
    </row>
    <row r="120" spans="2:38" x14ac:dyDescent="0.2">
      <c r="B120">
        <v>0</v>
      </c>
      <c r="C120">
        <v>10</v>
      </c>
      <c r="H120">
        <v>262</v>
      </c>
      <c r="I120">
        <v>617</v>
      </c>
      <c r="J120" t="s">
        <v>1000</v>
      </c>
      <c r="K120" t="s">
        <v>1001</v>
      </c>
      <c r="L120" t="s">
        <v>1002</v>
      </c>
      <c r="O120" t="s">
        <v>399</v>
      </c>
      <c r="U120">
        <v>3.55</v>
      </c>
      <c r="V120">
        <v>0.4</v>
      </c>
      <c r="W120">
        <v>0</v>
      </c>
      <c r="X120">
        <v>0</v>
      </c>
      <c r="Y120">
        <v>0</v>
      </c>
      <c r="Z120">
        <v>3.95</v>
      </c>
      <c r="AA120">
        <v>12</v>
      </c>
      <c r="AB120">
        <v>8.9</v>
      </c>
      <c r="AC120">
        <v>29.68</v>
      </c>
      <c r="AD120">
        <v>130.13999999999999</v>
      </c>
      <c r="AE120">
        <v>24.76</v>
      </c>
      <c r="AI120">
        <v>10</v>
      </c>
      <c r="AJ120">
        <v>6.74</v>
      </c>
      <c r="AK120">
        <v>0</v>
      </c>
      <c r="AL120">
        <v>0</v>
      </c>
    </row>
    <row r="121" spans="2:38" x14ac:dyDescent="0.2">
      <c r="B121">
        <v>10</v>
      </c>
      <c r="C121">
        <v>10</v>
      </c>
      <c r="D121" t="s">
        <v>2</v>
      </c>
      <c r="E121" t="s">
        <v>324</v>
      </c>
      <c r="F121" t="s">
        <v>0</v>
      </c>
      <c r="G121">
        <v>12</v>
      </c>
      <c r="H121">
        <v>248</v>
      </c>
      <c r="I121">
        <v>584</v>
      </c>
      <c r="J121" t="s">
        <v>1000</v>
      </c>
      <c r="K121" t="s">
        <v>1001</v>
      </c>
      <c r="L121" t="s">
        <v>1002</v>
      </c>
      <c r="M121">
        <v>30</v>
      </c>
      <c r="N121">
        <v>25</v>
      </c>
      <c r="O121" s="11">
        <v>44407</v>
      </c>
      <c r="P121" t="s">
        <v>404</v>
      </c>
      <c r="Q121">
        <v>30000</v>
      </c>
      <c r="R121">
        <v>635</v>
      </c>
      <c r="S121">
        <v>127</v>
      </c>
      <c r="T121" t="s">
        <v>999</v>
      </c>
      <c r="U121">
        <v>3.55</v>
      </c>
      <c r="V121">
        <v>0.4</v>
      </c>
      <c r="W121">
        <v>0</v>
      </c>
      <c r="X121">
        <v>0</v>
      </c>
      <c r="Y121">
        <v>0</v>
      </c>
      <c r="Z121">
        <v>3.95</v>
      </c>
      <c r="AA121">
        <v>42</v>
      </c>
      <c r="AB121">
        <v>36.630000000000003</v>
      </c>
      <c r="AC121">
        <v>122.09</v>
      </c>
      <c r="AD121">
        <v>526.14</v>
      </c>
      <c r="AE121">
        <v>92.72</v>
      </c>
      <c r="AF121" t="s">
        <v>1172</v>
      </c>
      <c r="AH121" t="s">
        <v>1170</v>
      </c>
      <c r="AI121">
        <v>24</v>
      </c>
      <c r="AJ121">
        <v>22.69</v>
      </c>
      <c r="AK121">
        <v>0</v>
      </c>
      <c r="AL121">
        <v>0</v>
      </c>
    </row>
    <row r="122" spans="2:38" x14ac:dyDescent="0.2">
      <c r="B122">
        <v>0</v>
      </c>
      <c r="C122">
        <v>10</v>
      </c>
      <c r="H122">
        <v>248</v>
      </c>
      <c r="I122">
        <v>585</v>
      </c>
      <c r="J122" t="s">
        <v>996</v>
      </c>
      <c r="K122" t="s">
        <v>997</v>
      </c>
      <c r="L122" t="s">
        <v>998</v>
      </c>
      <c r="O122" t="s">
        <v>399</v>
      </c>
      <c r="U122">
        <v>3.55</v>
      </c>
      <c r="V122">
        <v>0.4</v>
      </c>
      <c r="W122">
        <v>0</v>
      </c>
      <c r="X122">
        <v>0</v>
      </c>
      <c r="Y122">
        <v>0</v>
      </c>
      <c r="Z122">
        <v>3.95</v>
      </c>
      <c r="AA122">
        <v>42</v>
      </c>
      <c r="AB122">
        <v>36.630000000000003</v>
      </c>
      <c r="AC122">
        <v>122.09</v>
      </c>
      <c r="AD122">
        <v>526.14</v>
      </c>
      <c r="AE122">
        <v>92.72</v>
      </c>
      <c r="AI122">
        <v>24</v>
      </c>
      <c r="AJ122">
        <v>22.69</v>
      </c>
      <c r="AK122">
        <v>0</v>
      </c>
      <c r="AL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PROGRAMAS</vt:lpstr>
      <vt:lpstr>MODELOS</vt:lpstr>
      <vt:lpstr>Hoja4</vt:lpstr>
      <vt:lpstr>DATA_02</vt:lpstr>
      <vt:lpstr>COTI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Rosa</dc:creator>
  <cp:lastModifiedBy>Alejandro de la Rosa</cp:lastModifiedBy>
  <dcterms:created xsi:type="dcterms:W3CDTF">2021-01-27T22:58:37Z</dcterms:created>
  <dcterms:modified xsi:type="dcterms:W3CDTF">2021-08-20T15:06:35Z</dcterms:modified>
</cp:coreProperties>
</file>