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jandrod\Documents\GitHub\APQP\Scripts_R080_PROGRAM\"/>
    </mc:Choice>
  </mc:AlternateContent>
  <xr:revisionPtr revIDLastSave="0" documentId="13_ncr:1_{07B5F7BF-A175-4EF3-B5D6-0EFB66B42656}" xr6:coauthVersionLast="46" xr6:coauthVersionMax="46" xr10:uidLastSave="{00000000-0000-0000-0000-000000000000}"/>
  <bookViews>
    <workbookView xWindow="-120" yWindow="-120" windowWidth="29040" windowHeight="15840" activeTab="2" xr2:uid="{31C1A467-BD5D-4066-8C24-9EDA11CFF2CF}"/>
  </bookViews>
  <sheets>
    <sheet name="Hoja1" sheetId="1" r:id="rId1"/>
    <sheet name="PROGRAMAS" sheetId="2" r:id="rId2"/>
    <sheet name="MODELOS" sheetId="3" r:id="rId3"/>
    <sheet name="Hoja4" sheetId="4" r:id="rId4"/>
  </sheets>
  <definedNames>
    <definedName name="_xlnm._FilterDatabase" localSheetId="0" hidden="1">Hoja1!$A$5:$L$155</definedName>
    <definedName name="_xlnm._FilterDatabase" localSheetId="2" hidden="1">MODELOS!$A$2:$G$156</definedName>
    <definedName name="_xlnm._FilterDatabase" localSheetId="1" hidden="1">PROGRAMAS!$A$2:$C$2</definedName>
    <definedName name="_xlnm.Extra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" i="3" l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3" i="3"/>
  <c r="J3" i="3"/>
  <c r="J155" i="3"/>
  <c r="J153" i="3"/>
  <c r="J152" i="3"/>
  <c r="J151" i="3"/>
  <c r="J150" i="3"/>
  <c r="J149" i="3"/>
  <c r="J148" i="3"/>
  <c r="J136" i="3"/>
  <c r="J133" i="3"/>
  <c r="J132" i="3"/>
  <c r="J128" i="3"/>
  <c r="J119" i="3"/>
  <c r="J115" i="3"/>
  <c r="J114" i="3"/>
  <c r="J108" i="3"/>
  <c r="J93" i="3"/>
  <c r="J92" i="3"/>
  <c r="J91" i="3"/>
  <c r="J83" i="3"/>
  <c r="J81" i="3"/>
  <c r="J77" i="3"/>
  <c r="J74" i="3"/>
  <c r="J69" i="3"/>
  <c r="J67" i="3"/>
  <c r="J64" i="3"/>
  <c r="J63" i="3"/>
  <c r="J61" i="3"/>
  <c r="J59" i="3"/>
  <c r="J58" i="3"/>
  <c r="J53" i="3"/>
  <c r="J51" i="3"/>
  <c r="J50" i="3"/>
  <c r="J49" i="3"/>
  <c r="J44" i="3"/>
  <c r="J43" i="3"/>
  <c r="J39" i="3"/>
  <c r="J36" i="3"/>
  <c r="J34" i="3"/>
  <c r="J31" i="3"/>
  <c r="J27" i="3"/>
  <c r="J22" i="3"/>
  <c r="J20" i="3"/>
  <c r="J16" i="3"/>
  <c r="J15" i="3"/>
  <c r="J14" i="3"/>
  <c r="J7" i="3"/>
  <c r="J6" i="3"/>
  <c r="J5" i="3"/>
  <c r="J4" i="3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</calcChain>
</file>

<file path=xl/sharedStrings.xml><?xml version="1.0" encoding="utf-8"?>
<sst xmlns="http://schemas.openxmlformats.org/spreadsheetml/2006/main" count="1943" uniqueCount="363">
  <si>
    <t>YC5</t>
  </si>
  <si>
    <t>2021 WL 75 JEEP GRAND CHEROKEE</t>
  </si>
  <si>
    <t>YANG03</t>
  </si>
  <si>
    <t>YC4</t>
  </si>
  <si>
    <t>2021 WL 74 JEEP GRAND CHEROKEE</t>
  </si>
  <si>
    <t>YWS</t>
  </si>
  <si>
    <t xml:space="preserve">2021 WS JEEP GRAND WAGONEER   </t>
  </si>
  <si>
    <t>YANG02</t>
  </si>
  <si>
    <t>YWD</t>
  </si>
  <si>
    <t xml:space="preserve">WS YANGFENG DOOR PANEL        </t>
  </si>
  <si>
    <t>WPI</t>
  </si>
  <si>
    <t xml:space="preserve">2021 WPI WD CONSOLE LID       </t>
  </si>
  <si>
    <t>WPI003</t>
  </si>
  <si>
    <t>RUP</t>
  </si>
  <si>
    <t xml:space="preserve">2021 RU PINNACLE              </t>
  </si>
  <si>
    <t>WOOD01</t>
  </si>
  <si>
    <t>THE</t>
  </si>
  <si>
    <t xml:space="preserve">U228 NAVIGATOR HEADREST       </t>
  </si>
  <si>
    <t>TECH01</t>
  </si>
  <si>
    <t>MYS</t>
  </si>
  <si>
    <t xml:space="preserve">U388 HEADREST                 </t>
  </si>
  <si>
    <t>MAYS01</t>
  </si>
  <si>
    <t>XYZ</t>
  </si>
  <si>
    <t xml:space="preserve">WK TEST                       </t>
  </si>
  <si>
    <t>MAGN03</t>
  </si>
  <si>
    <t xml:space="preserve">2018 WK YL                    </t>
  </si>
  <si>
    <t>WSL</t>
  </si>
  <si>
    <t xml:space="preserve">2019 WS JEEP AL               </t>
  </si>
  <si>
    <t>WPL</t>
  </si>
  <si>
    <t xml:space="preserve">2018 WD PL                    </t>
  </si>
  <si>
    <t>WNL</t>
  </si>
  <si>
    <t xml:space="preserve">2018 WK NL                    </t>
  </si>
  <si>
    <t>WKZ</t>
  </si>
  <si>
    <t xml:space="preserve">2014 WK DZ(SRT)               </t>
  </si>
  <si>
    <t>WKY</t>
  </si>
  <si>
    <t>WKU</t>
  </si>
  <si>
    <t xml:space="preserve">2014 WK JEEP UL               </t>
  </si>
  <si>
    <t>WKT</t>
  </si>
  <si>
    <t xml:space="preserve">2014 WK JEEP GL/DL TWO TONES  </t>
  </si>
  <si>
    <t>WKL</t>
  </si>
  <si>
    <t xml:space="preserve">2015 WK KL ALTITUDE II        </t>
  </si>
  <si>
    <t>WKJ</t>
  </si>
  <si>
    <t xml:space="preserve">2017 WK CJ                    </t>
  </si>
  <si>
    <t>WKG</t>
  </si>
  <si>
    <t xml:space="preserve">2014 WK JEEP GL/DL            </t>
  </si>
  <si>
    <t>WEL</t>
  </si>
  <si>
    <t xml:space="preserve">2017 WK-EL RESERVE            </t>
  </si>
  <si>
    <t>WDM</t>
  </si>
  <si>
    <t xml:space="preserve">2017 WD ML                    </t>
  </si>
  <si>
    <t>WD2</t>
  </si>
  <si>
    <t xml:space="preserve">2017  WD ML DOS TONOS         </t>
  </si>
  <si>
    <t>WBL</t>
  </si>
  <si>
    <t xml:space="preserve">2017 WK BL                    </t>
  </si>
  <si>
    <t>U54</t>
  </si>
  <si>
    <t xml:space="preserve">U540 VINYL LAMINATION         </t>
  </si>
  <si>
    <t>SL3</t>
  </si>
  <si>
    <t xml:space="preserve">2013 U387 SEL                 </t>
  </si>
  <si>
    <t>RUM</t>
  </si>
  <si>
    <t xml:space="preserve">2016 RU OPCION ML             </t>
  </si>
  <si>
    <t>RUE</t>
  </si>
  <si>
    <t xml:space="preserve">2016 RU OPCION EL             </t>
  </si>
  <si>
    <t>RUA</t>
  </si>
  <si>
    <t xml:space="preserve">2016 RU OPCION AL             </t>
  </si>
  <si>
    <t>RDL</t>
  </si>
  <si>
    <t xml:space="preserve">2021 RU DL PINNACLE           </t>
  </si>
  <si>
    <t>PVP</t>
  </si>
  <si>
    <t xml:space="preserve">U387 FORD VPP                 </t>
  </si>
  <si>
    <t>PLS</t>
  </si>
  <si>
    <t xml:space="preserve">D471 2016 SALERNO             </t>
  </si>
  <si>
    <t>PLE</t>
  </si>
  <si>
    <t xml:space="preserve">D471 LTD 2013                 </t>
  </si>
  <si>
    <t>PLD</t>
  </si>
  <si>
    <t xml:space="preserve">D471 SEL 2013                 </t>
  </si>
  <si>
    <t>PLC</t>
  </si>
  <si>
    <t xml:space="preserve">D471 LTD PLATINIUM            </t>
  </si>
  <si>
    <t>PLB</t>
  </si>
  <si>
    <t xml:space="preserve">U388 HEADREST 2012            </t>
  </si>
  <si>
    <t>PL9</t>
  </si>
  <si>
    <t xml:space="preserve">U387 FORD SPORT 2011          </t>
  </si>
  <si>
    <t>PL8</t>
  </si>
  <si>
    <t xml:space="preserve">U387 FORD SPORT 2012          </t>
  </si>
  <si>
    <t>PL7</t>
  </si>
  <si>
    <t xml:space="preserve">U387 FORD SEL 2013            </t>
  </si>
  <si>
    <t xml:space="preserve">U387 FORD SEL 2012            </t>
  </si>
  <si>
    <t>PL6</t>
  </si>
  <si>
    <t xml:space="preserve">U388 LINCOLN ULTIMATE         </t>
  </si>
  <si>
    <t>PL5</t>
  </si>
  <si>
    <t xml:space="preserve">D471 LTD 2012                 </t>
  </si>
  <si>
    <t>PL4</t>
  </si>
  <si>
    <t xml:space="preserve">D471 SEL 2012                 </t>
  </si>
  <si>
    <t>PL3</t>
  </si>
  <si>
    <t xml:space="preserve">U388 LINCOLN BASE 2012        </t>
  </si>
  <si>
    <t>PL2</t>
  </si>
  <si>
    <t xml:space="preserve">U387 FORD SEL 2011 PLM        </t>
  </si>
  <si>
    <t>L88</t>
  </si>
  <si>
    <t xml:space="preserve">U388 LINCOLN LIMITED          </t>
  </si>
  <si>
    <t>GRE</t>
  </si>
  <si>
    <t xml:space="preserve">U387 FORD GREY                </t>
  </si>
  <si>
    <t>FCE</t>
  </si>
  <si>
    <t xml:space="preserve">U387 FORD CUTTING EDGE        </t>
  </si>
  <si>
    <t>3SU</t>
  </si>
  <si>
    <t xml:space="preserve">GMT 315 SUV                   </t>
  </si>
  <si>
    <t xml:space="preserve">U387 FORD PREMIUM             </t>
  </si>
  <si>
    <t>WTL</t>
  </si>
  <si>
    <t xml:space="preserve">2021 WL 75 TL 12 WAY          </t>
  </si>
  <si>
    <t>MAGN02</t>
  </si>
  <si>
    <t>WLK</t>
  </si>
  <si>
    <t xml:space="preserve">2021 WL KL 8W BASE SRT        </t>
  </si>
  <si>
    <t>WLB</t>
  </si>
  <si>
    <t xml:space="preserve">2021 WL 75 BL OVERLAND        </t>
  </si>
  <si>
    <t>WEC</t>
  </si>
  <si>
    <t xml:space="preserve">2021 WL 75 EC SUMMIT          </t>
  </si>
  <si>
    <t>WDL</t>
  </si>
  <si>
    <t xml:space="preserve">2021 WL 75 DL LIMITED         </t>
  </si>
  <si>
    <t>WCL</t>
  </si>
  <si>
    <t xml:space="preserve">2021 WL 75 CL 8 WAY           </t>
  </si>
  <si>
    <t>WC1</t>
  </si>
  <si>
    <t xml:space="preserve">2021 WL 75 CL 12 WAY          </t>
  </si>
  <si>
    <t>WAL</t>
  </si>
  <si>
    <t xml:space="preserve">2021 WL 75 AL 8W LIMITED      </t>
  </si>
  <si>
    <t>W7T</t>
  </si>
  <si>
    <t xml:space="preserve">2021 WL 74 TL                 </t>
  </si>
  <si>
    <t>W7S</t>
  </si>
  <si>
    <t xml:space="preserve">2021 WL 74 SL                 </t>
  </si>
  <si>
    <t>W7E</t>
  </si>
  <si>
    <t xml:space="preserve">2021 WL 74 EC                 </t>
  </si>
  <si>
    <t>W7D</t>
  </si>
  <si>
    <t xml:space="preserve">2021 WL 74 DL                 </t>
  </si>
  <si>
    <t>W7C</t>
  </si>
  <si>
    <t xml:space="preserve">2021 WL 74 CL 8W              </t>
  </si>
  <si>
    <t>W7B</t>
  </si>
  <si>
    <t xml:space="preserve">2021 WL 74 BL                 </t>
  </si>
  <si>
    <t>W7A</t>
  </si>
  <si>
    <t xml:space="preserve">2021 WL 74 AL                 </t>
  </si>
  <si>
    <t>UMA</t>
  </si>
  <si>
    <t xml:space="preserve">U377 MAZDA PREMIUM 2008       </t>
  </si>
  <si>
    <t>MAGN01</t>
  </si>
  <si>
    <t>U77</t>
  </si>
  <si>
    <t xml:space="preserve">U377 FORD MONO TONE           </t>
  </si>
  <si>
    <t>U55</t>
  </si>
  <si>
    <t xml:space="preserve">2019 U553 EXPEDITION          </t>
  </si>
  <si>
    <t>U3P</t>
  </si>
  <si>
    <t xml:space="preserve">U364 MCY PREMIUM              </t>
  </si>
  <si>
    <t>U3M</t>
  </si>
  <si>
    <t xml:space="preserve">U377 MERCURY PREMIUM 2008     </t>
  </si>
  <si>
    <t>U3L</t>
  </si>
  <si>
    <t xml:space="preserve">U364 MERCURY LTD STD          </t>
  </si>
  <si>
    <t>U37</t>
  </si>
  <si>
    <t xml:space="preserve">U377 MERCURY LTD 2008         </t>
  </si>
  <si>
    <t>U2M</t>
  </si>
  <si>
    <t xml:space="preserve">U204 MAZDA PREMIUM            </t>
  </si>
  <si>
    <t>U2L</t>
  </si>
  <si>
    <t xml:space="preserve">U204 FORD LTD STD             </t>
  </si>
  <si>
    <t>U2F</t>
  </si>
  <si>
    <t xml:space="preserve">U204 FORD LTD AB              </t>
  </si>
  <si>
    <t>U20</t>
  </si>
  <si>
    <t xml:space="preserve">U204 MAZDA AIR BAG            </t>
  </si>
  <si>
    <t>PLA</t>
  </si>
  <si>
    <t xml:space="preserve">VN-127 FORD ECONOLINE         </t>
  </si>
  <si>
    <t>PL1</t>
  </si>
  <si>
    <t xml:space="preserve">U377 FORD PREMIUM 11 PLM      </t>
  </si>
  <si>
    <t>MP9</t>
  </si>
  <si>
    <t xml:space="preserve">U377 MERCURY PREMIUM 2009     </t>
  </si>
  <si>
    <t>MAZ</t>
  </si>
  <si>
    <t xml:space="preserve">U377 MAZDA PREMIUM 2009       </t>
  </si>
  <si>
    <t>HRM</t>
  </si>
  <si>
    <t xml:space="preserve">U377 HEADREST 2010            </t>
  </si>
  <si>
    <t>GXS</t>
  </si>
  <si>
    <t xml:space="preserve">GMX001 SEDAN                  </t>
  </si>
  <si>
    <t>GX1</t>
  </si>
  <si>
    <t xml:space="preserve">GMX 001 COUPE L4              </t>
  </si>
  <si>
    <t>GMC</t>
  </si>
  <si>
    <t xml:space="preserve">GMX 001 COUPE                 </t>
  </si>
  <si>
    <t>TSL</t>
  </si>
  <si>
    <t xml:space="preserve">2013 D258 TAURUS SEL          </t>
  </si>
  <si>
    <t>LEAV01</t>
  </si>
  <si>
    <t>THO</t>
  </si>
  <si>
    <t>2013 D258 TAURUS SHO &amp; LIMITED</t>
  </si>
  <si>
    <t>THL</t>
  </si>
  <si>
    <t xml:space="preserve">2013 D258 TAURUS LTD          </t>
  </si>
  <si>
    <t>SH2</t>
  </si>
  <si>
    <t xml:space="preserve">2013 S197 MUSTANG SHELBY TT   </t>
  </si>
  <si>
    <t>SH1</t>
  </si>
  <si>
    <t xml:space="preserve">2013 S197 MUSTANG SHELBY 5B8  </t>
  </si>
  <si>
    <t>PRM</t>
  </si>
  <si>
    <t xml:space="preserve">2013 S197 MUSTANG PREMIUM     </t>
  </si>
  <si>
    <t>IUP</t>
  </si>
  <si>
    <t xml:space="preserve">2013 S197 MUSTANG IUP         </t>
  </si>
  <si>
    <t>G65</t>
  </si>
  <si>
    <t xml:space="preserve">GMX365 BUICK LACROSSE         </t>
  </si>
  <si>
    <t>CAL</t>
  </si>
  <si>
    <t xml:space="preserve">2013 S197 MUSTANG CALIFORNIA  </t>
  </si>
  <si>
    <t xml:space="preserve">GMX 365 2008 FIXED            </t>
  </si>
  <si>
    <t>KHE</t>
  </si>
  <si>
    <t>KONG01</t>
  </si>
  <si>
    <t>SHI</t>
  </si>
  <si>
    <t xml:space="preserve">GM360 CHEVY SHANGAI           </t>
  </si>
  <si>
    <t>JOHN04</t>
  </si>
  <si>
    <t>SHA</t>
  </si>
  <si>
    <t>GM 360 CHEVY/ISUZU/GMC SHANGAI</t>
  </si>
  <si>
    <t>SAA</t>
  </si>
  <si>
    <t xml:space="preserve">GM 360 SAAB                   </t>
  </si>
  <si>
    <t>JOHN03</t>
  </si>
  <si>
    <t>NAV</t>
  </si>
  <si>
    <t xml:space="preserve">U228 NAVIGATOR LUX EDIASA 3   </t>
  </si>
  <si>
    <t>GSS</t>
  </si>
  <si>
    <t xml:space="preserve">GM 360 TRAILBLAZER SS         </t>
  </si>
  <si>
    <t>DEN</t>
  </si>
  <si>
    <t xml:space="preserve">GM 360 DENALY                 </t>
  </si>
  <si>
    <t>CHE</t>
  </si>
  <si>
    <t xml:space="preserve">GM 360 CHEVY / ISUZU / GMC    </t>
  </si>
  <si>
    <t>BUI</t>
  </si>
  <si>
    <t xml:space="preserve">GM 360 BUICK                  </t>
  </si>
  <si>
    <t xml:space="preserve">P415 PLATINIUM                </t>
  </si>
  <si>
    <t xml:space="preserve">U228 NAVIGATOR LUX/ULT        </t>
  </si>
  <si>
    <t>JCT</t>
  </si>
  <si>
    <t xml:space="preserve">JCI-TESLA                     </t>
  </si>
  <si>
    <t>JOHN02</t>
  </si>
  <si>
    <t>CHI</t>
  </si>
  <si>
    <t>GM360 CHEVY / ISUZU /GMC CHINA</t>
  </si>
  <si>
    <t xml:space="preserve">EN114 CONSOLE JCI             </t>
  </si>
  <si>
    <t>PL0</t>
  </si>
  <si>
    <t xml:space="preserve">U388 CONSOLE                  </t>
  </si>
  <si>
    <t>JOHN01</t>
  </si>
  <si>
    <t>GX2</t>
  </si>
  <si>
    <t xml:space="preserve">GMT 192 GXP 2008              </t>
  </si>
  <si>
    <t>IRVI03</t>
  </si>
  <si>
    <t>G93</t>
  </si>
  <si>
    <t xml:space="preserve">GMT 193 2008                  </t>
  </si>
  <si>
    <t>ARM</t>
  </si>
  <si>
    <t xml:space="preserve">ARMREST GMT 193               </t>
  </si>
  <si>
    <t xml:space="preserve">GMT 192 2008                  </t>
  </si>
  <si>
    <t xml:space="preserve">GMT 191 2008                  </t>
  </si>
  <si>
    <t>WLS</t>
  </si>
  <si>
    <t xml:space="preserve">WLS JEEP 2020                 </t>
  </si>
  <si>
    <t>IRVI02</t>
  </si>
  <si>
    <t>VMX</t>
  </si>
  <si>
    <t xml:space="preserve">V229 FREESTAR MXA             </t>
  </si>
  <si>
    <t>VMP</t>
  </si>
  <si>
    <t xml:space="preserve">V229 FREESTAR MPA             </t>
  </si>
  <si>
    <t>VML</t>
  </si>
  <si>
    <t xml:space="preserve">V229 FREESTAR MERCURY LTD     </t>
  </si>
  <si>
    <t>VFL</t>
  </si>
  <si>
    <t xml:space="preserve">V229 FORD FREESTAR LTD        </t>
  </si>
  <si>
    <t>JTS</t>
  </si>
  <si>
    <t xml:space="preserve">2021 JEEP JT SUMMIT           </t>
  </si>
  <si>
    <t>JTM</t>
  </si>
  <si>
    <t xml:space="preserve">2019 JEEP JT MOJAVE           </t>
  </si>
  <si>
    <t>JSU</t>
  </si>
  <si>
    <t xml:space="preserve">JEEPJL SUMMIT                 </t>
  </si>
  <si>
    <t>JPS</t>
  </si>
  <si>
    <t xml:space="preserve">2021 JEEP JL PHEV SUMMIT      </t>
  </si>
  <si>
    <t>JPH</t>
  </si>
  <si>
    <t xml:space="preserve">2020 JEEP JL PHEV             </t>
  </si>
  <si>
    <t>JLI</t>
  </si>
  <si>
    <t xml:space="preserve">2018 JEEP JL                  </t>
  </si>
  <si>
    <t>JJT</t>
  </si>
  <si>
    <t xml:space="preserve">2019 JEEP JT                  </t>
  </si>
  <si>
    <t>GXP</t>
  </si>
  <si>
    <t>GM3</t>
  </si>
  <si>
    <t>GM2</t>
  </si>
  <si>
    <t xml:space="preserve">GMT 192 PONTIAC PERSUIT       </t>
  </si>
  <si>
    <t>GM1</t>
  </si>
  <si>
    <t xml:space="preserve">GMT 191 PONTIAC TORRENT       </t>
  </si>
  <si>
    <t>88L</t>
  </si>
  <si>
    <t>88H</t>
  </si>
  <si>
    <t>88A</t>
  </si>
  <si>
    <t xml:space="preserve">U388 LINCOLN ARMREST          </t>
  </si>
  <si>
    <t>87P</t>
  </si>
  <si>
    <t>87C</t>
  </si>
  <si>
    <t xml:space="preserve">GMT 193 2007                  </t>
  </si>
  <si>
    <t>GWL</t>
  </si>
  <si>
    <t xml:space="preserve">2021 WL 74/75 2ND. ROW ARMRE  </t>
  </si>
  <si>
    <t>GRAM04</t>
  </si>
  <si>
    <t>GW2</t>
  </si>
  <si>
    <t xml:space="preserve">2021 WL 75 QUADS 2ND. ROW AR  </t>
  </si>
  <si>
    <t>GAR</t>
  </si>
  <si>
    <t>GRAM01</t>
  </si>
  <si>
    <t>MCY</t>
  </si>
  <si>
    <t xml:space="preserve">U364 MERCURY LTD FINDALY      </t>
  </si>
  <si>
    <t>FIND02</t>
  </si>
  <si>
    <t>WS3</t>
  </si>
  <si>
    <t xml:space="preserve">2021 WS UL ALWAYS QUILTED     </t>
  </si>
  <si>
    <t>FAUR01</t>
  </si>
  <si>
    <t>S3U</t>
  </si>
  <si>
    <t xml:space="preserve">2021 WS UL JEEP 3RD ROW       </t>
  </si>
  <si>
    <t>S3S</t>
  </si>
  <si>
    <t xml:space="preserve">2021 WS SL JEEP 3RD ROW       </t>
  </si>
  <si>
    <t>FWS</t>
  </si>
  <si>
    <t xml:space="preserve">2021 WS AL JEEP BASE          </t>
  </si>
  <si>
    <t>FW2</t>
  </si>
  <si>
    <t xml:space="preserve">2021 WS JEEP SL NEVER QUILTED </t>
  </si>
  <si>
    <t>C3B</t>
  </si>
  <si>
    <t xml:space="preserve">2021 WS AL JEEP 3RD ROW       </t>
  </si>
  <si>
    <t>C3A</t>
  </si>
  <si>
    <t xml:space="preserve">2021 WS BL-GL EEP 3RD ROW     </t>
  </si>
  <si>
    <t>WLE</t>
  </si>
  <si>
    <t xml:space="preserve">2021 WL EISMANN               </t>
  </si>
  <si>
    <t>EISS01</t>
  </si>
  <si>
    <t>WDK</t>
  </si>
  <si>
    <t xml:space="preserve">2021 WK WD 2ND ROW ARMREST    </t>
  </si>
  <si>
    <t>DAIM05</t>
  </si>
  <si>
    <t>77H</t>
  </si>
  <si>
    <t xml:space="preserve">U377 FORD HEADREST            </t>
  </si>
  <si>
    <t>CNII01</t>
  </si>
  <si>
    <t>WD7</t>
  </si>
  <si>
    <t xml:space="preserve">2021 WL DL 75 VPD             </t>
  </si>
  <si>
    <t>ALGRP1</t>
  </si>
  <si>
    <t>OPCIÓN 1</t>
  </si>
  <si>
    <t>modeldesc</t>
  </si>
  <si>
    <t>cus_no</t>
  </si>
  <si>
    <t>A4GLIdentity</t>
  </si>
  <si>
    <t>#NO</t>
  </si>
  <si>
    <t>GR1</t>
  </si>
  <si>
    <t>GR2</t>
  </si>
  <si>
    <t>GRM</t>
  </si>
  <si>
    <t>GWS</t>
  </si>
  <si>
    <t>2021 WL 75 QUADS 2ND. ROW ARMR</t>
  </si>
  <si>
    <t xml:space="preserve">WS FOLDING 2ND-ROW ARM REST   </t>
  </si>
  <si>
    <t>2021 WL 74/75 2ND. ROW ARMREST</t>
  </si>
  <si>
    <t xml:space="preserve">2021 WS GRAN WAGONNER         </t>
  </si>
  <si>
    <t>modelno/PROGRAMA</t>
  </si>
  <si>
    <t>,</t>
  </si>
  <si>
    <t xml:space="preserve">EXECUTE [dbo].[PG_CI_ARCUSFIL_PROGRAM]  0, 0, </t>
  </si>
  <si>
    <t>WL</t>
  </si>
  <si>
    <t>U377</t>
  </si>
  <si>
    <t>WK</t>
  </si>
  <si>
    <t>WS</t>
  </si>
  <si>
    <t>U364</t>
  </si>
  <si>
    <t>U388</t>
  </si>
  <si>
    <t>GMT</t>
  </si>
  <si>
    <t>U387</t>
  </si>
  <si>
    <t>JL</t>
  </si>
  <si>
    <t>V229</t>
  </si>
  <si>
    <t>JCI</t>
  </si>
  <si>
    <t>GM360</t>
  </si>
  <si>
    <t>P415</t>
  </si>
  <si>
    <t>U228</t>
  </si>
  <si>
    <t>GMX365</t>
  </si>
  <si>
    <t>S197</t>
  </si>
  <si>
    <t>D258</t>
  </si>
  <si>
    <t>GMX001</t>
  </si>
  <si>
    <t>VN127</t>
  </si>
  <si>
    <t>U204</t>
  </si>
  <si>
    <t>U553</t>
  </si>
  <si>
    <t>D471</t>
  </si>
  <si>
    <t>RU</t>
  </si>
  <si>
    <t>U540</t>
  </si>
  <si>
    <t>WD</t>
  </si>
  <si>
    <t>CUSTOMER</t>
  </si>
  <si>
    <t>PROGRAM</t>
  </si>
  <si>
    <t>MODEL</t>
  </si>
  <si>
    <t>DESCRIPTION_MODEL</t>
  </si>
  <si>
    <t>JT</t>
  </si>
  <si>
    <t>X</t>
  </si>
  <si>
    <t>SI3</t>
  </si>
  <si>
    <t>3NEWMODELSIS</t>
  </si>
  <si>
    <t>INSER PARA CI_PROGRAMAS SE ACTIVAS EL FILTRO X</t>
  </si>
  <si>
    <t>FILTRO X</t>
  </si>
  <si>
    <t>K_ARCUSFIL_PROGRAM</t>
  </si>
  <si>
    <t>S_ARCUSFIL_PROGRAM</t>
  </si>
  <si>
    <t>.</t>
  </si>
  <si>
    <t xml:space="preserve">EXECUTE [dbo].[PG_CI_ARCUSFIL_PROGRAM_MODEL]  0, 0,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</si>
</sst>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</font>
    <font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CA129-C584-402D-B8BD-14D8404319E8}">
  <dimension ref="A5:L159"/>
  <sheetViews>
    <sheetView workbookViewId="0">
      <selection activeCell="H7" sqref="H7"/>
    </sheetView>
  </sheetViews>
  <sheetFormatPr baseColWidth="10" defaultRowHeight="12.75" x14ac:dyDescent="0.2"/>
  <cols>
    <col min="3" max="3" width="12.7109375" style="1" customWidth="1"/>
    <col min="4" max="4" width="22.85546875" style="1" bestFit="1" customWidth="1"/>
    <col min="5" max="5" width="42.140625" customWidth="1"/>
    <col min="6" max="6" width="14.42578125" style="2" bestFit="1" customWidth="1"/>
    <col min="7" max="7" width="48.28515625" style="2" bestFit="1" customWidth="1"/>
    <col min="8" max="8" width="33.5703125" style="2" bestFit="1" customWidth="1"/>
    <col min="9" max="9" width="15.7109375" style="2" customWidth="1"/>
    <col min="12" max="12" width="12.5703125" style="1" bestFit="1" customWidth="1"/>
  </cols>
  <sheetData>
    <row r="5" spans="1:10" x14ac:dyDescent="0.2">
      <c r="A5" t="s">
        <v>312</v>
      </c>
      <c r="B5" s="1" t="s">
        <v>311</v>
      </c>
      <c r="C5" s="1" t="s">
        <v>310</v>
      </c>
      <c r="D5" s="1" t="s">
        <v>321</v>
      </c>
      <c r="E5" t="s">
        <v>309</v>
      </c>
      <c r="F5" s="2" t="s">
        <v>308</v>
      </c>
      <c r="H5" t="s">
        <v>322</v>
      </c>
      <c r="I5"/>
    </row>
    <row r="6" spans="1:10" x14ac:dyDescent="0.2">
      <c r="A6">
        <v>1</v>
      </c>
      <c r="B6" s="1">
        <v>46</v>
      </c>
      <c r="C6" s="1" t="s">
        <v>307</v>
      </c>
      <c r="D6" s="1" t="s">
        <v>305</v>
      </c>
      <c r="E6" t="s">
        <v>306</v>
      </c>
      <c r="F6" s="1">
        <v>46</v>
      </c>
      <c r="G6" s="2" t="s">
        <v>323</v>
      </c>
      <c r="H6" s="2" t="str">
        <f>_xlfn.CONCAT(G6,"'",D6,"'",$H$5,"'",TRIM(E6),"'",$H$5,F6)</f>
        <v>EXECUTE [dbo].[PG_CI_ARCUSFIL_PROGRAM]  0, 0, 'WD7','2021 WL DL 75 VPD',46</v>
      </c>
      <c r="I6" s="3"/>
      <c r="J6" s="3"/>
    </row>
    <row r="7" spans="1:10" x14ac:dyDescent="0.2">
      <c r="A7">
        <v>2</v>
      </c>
      <c r="B7" s="1">
        <v>1</v>
      </c>
      <c r="C7" s="1" t="s">
        <v>304</v>
      </c>
      <c r="D7" s="1" t="s">
        <v>302</v>
      </c>
      <c r="E7" t="s">
        <v>303</v>
      </c>
      <c r="F7" s="1">
        <v>1</v>
      </c>
      <c r="G7" s="2" t="s">
        <v>323</v>
      </c>
      <c r="H7" s="2" t="str">
        <f t="shared" ref="H7:H70" si="0">_xlfn.CONCAT(G7,"'",D7,"'",$H$5,"'",TRIM(E7),"'",$H$5,F7)</f>
        <v>EXECUTE [dbo].[PG_CI_ARCUSFIL_PROGRAM]  0, 0, '77H','U377 FORD HEADREST',1</v>
      </c>
      <c r="I7" s="3"/>
    </row>
    <row r="8" spans="1:10" x14ac:dyDescent="0.2">
      <c r="A8">
        <v>3</v>
      </c>
      <c r="B8" s="1">
        <v>56</v>
      </c>
      <c r="C8" s="1" t="s">
        <v>301</v>
      </c>
      <c r="D8" s="1" t="s">
        <v>299</v>
      </c>
      <c r="E8" t="s">
        <v>300</v>
      </c>
      <c r="F8" s="1">
        <v>56</v>
      </c>
      <c r="G8" s="2" t="s">
        <v>323</v>
      </c>
      <c r="H8" s="2" t="str">
        <f t="shared" si="0"/>
        <v>EXECUTE [dbo].[PG_CI_ARCUSFIL_PROGRAM]  0, 0, 'WDK','2021 WK WD 2ND ROW ARMREST',56</v>
      </c>
      <c r="I8" s="3"/>
      <c r="J8" s="3"/>
    </row>
    <row r="9" spans="1:10" x14ac:dyDescent="0.2">
      <c r="A9">
        <v>4</v>
      </c>
      <c r="B9" s="1">
        <v>57</v>
      </c>
      <c r="C9" s="1" t="s">
        <v>298</v>
      </c>
      <c r="D9" s="1" t="s">
        <v>296</v>
      </c>
      <c r="E9" t="s">
        <v>297</v>
      </c>
      <c r="F9" s="1">
        <v>57</v>
      </c>
      <c r="G9" s="2" t="s">
        <v>323</v>
      </c>
      <c r="H9" s="2" t="str">
        <f t="shared" si="0"/>
        <v>EXECUTE [dbo].[PG_CI_ARCUSFIL_PROGRAM]  0, 0, 'WLE','2021 WL EISMANN',57</v>
      </c>
      <c r="I9" s="3"/>
      <c r="J9" s="3"/>
    </row>
    <row r="10" spans="1:10" x14ac:dyDescent="0.2">
      <c r="A10">
        <v>5</v>
      </c>
      <c r="B10" s="1">
        <v>51</v>
      </c>
      <c r="C10" s="1" t="s">
        <v>283</v>
      </c>
      <c r="D10" s="1" t="s">
        <v>294</v>
      </c>
      <c r="E10" t="s">
        <v>295</v>
      </c>
      <c r="F10" s="1">
        <v>51</v>
      </c>
      <c r="G10" s="2" t="s">
        <v>323</v>
      </c>
      <c r="H10" s="2" t="str">
        <f t="shared" si="0"/>
        <v>EXECUTE [dbo].[PG_CI_ARCUSFIL_PROGRAM]  0, 0, 'C3A','2021 WS BL-GL EEP 3RD ROW',51</v>
      </c>
      <c r="I10" s="3"/>
    </row>
    <row r="11" spans="1:10" x14ac:dyDescent="0.2">
      <c r="A11">
        <v>6</v>
      </c>
      <c r="B11" s="1">
        <v>51</v>
      </c>
      <c r="C11" s="1" t="s">
        <v>283</v>
      </c>
      <c r="D11" s="1" t="s">
        <v>292</v>
      </c>
      <c r="E11" t="s">
        <v>293</v>
      </c>
      <c r="F11" s="1">
        <v>51</v>
      </c>
      <c r="G11" s="2" t="s">
        <v>323</v>
      </c>
      <c r="H11" s="2" t="str">
        <f t="shared" si="0"/>
        <v>EXECUTE [dbo].[PG_CI_ARCUSFIL_PROGRAM]  0, 0, 'C3B','2021 WS AL JEEP 3RD ROW',51</v>
      </c>
      <c r="I11" s="3"/>
    </row>
    <row r="12" spans="1:10" x14ac:dyDescent="0.2">
      <c r="A12">
        <v>7</v>
      </c>
      <c r="B12" s="1">
        <v>51</v>
      </c>
      <c r="C12" s="1" t="s">
        <v>283</v>
      </c>
      <c r="D12" s="1" t="s">
        <v>290</v>
      </c>
      <c r="E12" t="s">
        <v>291</v>
      </c>
      <c r="F12" s="1">
        <v>51</v>
      </c>
      <c r="G12" s="2" t="s">
        <v>323</v>
      </c>
      <c r="H12" s="2" t="str">
        <f t="shared" si="0"/>
        <v>EXECUTE [dbo].[PG_CI_ARCUSFIL_PROGRAM]  0, 0, 'FW2','2021 WS JEEP SL NEVER QUILTED',51</v>
      </c>
      <c r="I12" s="3"/>
    </row>
    <row r="13" spans="1:10" x14ac:dyDescent="0.2">
      <c r="A13">
        <v>8</v>
      </c>
      <c r="B13" s="1">
        <v>51</v>
      </c>
      <c r="C13" s="1" t="s">
        <v>283</v>
      </c>
      <c r="D13" s="1" t="s">
        <v>288</v>
      </c>
      <c r="E13" t="s">
        <v>289</v>
      </c>
      <c r="F13" s="1">
        <v>51</v>
      </c>
      <c r="G13" s="2" t="s">
        <v>323</v>
      </c>
      <c r="H13" s="2" t="str">
        <f t="shared" si="0"/>
        <v>EXECUTE [dbo].[PG_CI_ARCUSFIL_PROGRAM]  0, 0, 'FWS','2021 WS AL JEEP BASE',51</v>
      </c>
      <c r="I13" s="3"/>
    </row>
    <row r="14" spans="1:10" x14ac:dyDescent="0.2">
      <c r="A14">
        <v>9</v>
      </c>
      <c r="B14" s="1">
        <v>51</v>
      </c>
      <c r="C14" s="1" t="s">
        <v>283</v>
      </c>
      <c r="D14" s="1" t="s">
        <v>286</v>
      </c>
      <c r="E14" t="s">
        <v>287</v>
      </c>
      <c r="F14" s="1">
        <v>51</v>
      </c>
      <c r="G14" s="2" t="s">
        <v>323</v>
      </c>
      <c r="H14" s="2" t="str">
        <f t="shared" si="0"/>
        <v>EXECUTE [dbo].[PG_CI_ARCUSFIL_PROGRAM]  0, 0, 'S3S','2021 WS SL JEEP 3RD ROW',51</v>
      </c>
      <c r="I14" s="3"/>
    </row>
    <row r="15" spans="1:10" x14ac:dyDescent="0.2">
      <c r="A15">
        <v>10</v>
      </c>
      <c r="B15" s="1">
        <v>51</v>
      </c>
      <c r="C15" s="1" t="s">
        <v>283</v>
      </c>
      <c r="D15" s="1" t="s">
        <v>284</v>
      </c>
      <c r="E15" t="s">
        <v>285</v>
      </c>
      <c r="F15" s="1">
        <v>51</v>
      </c>
      <c r="G15" s="2" t="s">
        <v>323</v>
      </c>
      <c r="H15" s="2" t="str">
        <f t="shared" si="0"/>
        <v>EXECUTE [dbo].[PG_CI_ARCUSFIL_PROGRAM]  0, 0, 'S3U','2021 WS UL JEEP 3RD ROW',51</v>
      </c>
      <c r="I15" s="3"/>
    </row>
    <row r="16" spans="1:10" x14ac:dyDescent="0.2">
      <c r="A16">
        <v>11</v>
      </c>
      <c r="B16" s="1">
        <v>51</v>
      </c>
      <c r="C16" s="1" t="s">
        <v>283</v>
      </c>
      <c r="D16" s="1" t="s">
        <v>281</v>
      </c>
      <c r="E16" t="s">
        <v>282</v>
      </c>
      <c r="F16" s="1">
        <v>51</v>
      </c>
      <c r="G16" s="2" t="s">
        <v>323</v>
      </c>
      <c r="H16" s="2" t="str">
        <f t="shared" si="0"/>
        <v>EXECUTE [dbo].[PG_CI_ARCUSFIL_PROGRAM]  0, 0, 'WS3','2021 WS UL ALWAYS QUILTED',51</v>
      </c>
      <c r="I16" s="3"/>
      <c r="J16" s="3"/>
    </row>
    <row r="17" spans="1:10" x14ac:dyDescent="0.2">
      <c r="A17">
        <v>12</v>
      </c>
      <c r="B17" s="1">
        <v>5</v>
      </c>
      <c r="C17" s="1" t="s">
        <v>280</v>
      </c>
      <c r="D17" s="1" t="s">
        <v>278</v>
      </c>
      <c r="E17" t="s">
        <v>279</v>
      </c>
      <c r="F17" s="1">
        <v>5</v>
      </c>
      <c r="G17" s="2" t="s">
        <v>323</v>
      </c>
      <c r="H17" s="2" t="str">
        <f t="shared" si="0"/>
        <v>EXECUTE [dbo].[PG_CI_ARCUSFIL_PROGRAM]  0, 0, 'MCY','U364 MERCURY LTD FINDALY',5</v>
      </c>
      <c r="J17" s="2"/>
    </row>
    <row r="18" spans="1:10" x14ac:dyDescent="0.2">
      <c r="A18">
        <v>13</v>
      </c>
      <c r="B18" s="1">
        <v>40</v>
      </c>
      <c r="C18" s="1" t="s">
        <v>277</v>
      </c>
      <c r="D18" s="1" t="s">
        <v>276</v>
      </c>
      <c r="E18" t="s">
        <v>267</v>
      </c>
      <c r="F18" s="1">
        <v>40</v>
      </c>
      <c r="G18" s="2" t="s">
        <v>323</v>
      </c>
      <c r="H18" s="2" t="str">
        <f t="shared" si="0"/>
        <v>EXECUTE [dbo].[PG_CI_ARCUSFIL_PROGRAM]  0, 0, 'GAR','U388 LINCOLN ARMREST',40</v>
      </c>
      <c r="I18" s="3"/>
      <c r="J18" s="2"/>
    </row>
    <row r="19" spans="1:10" x14ac:dyDescent="0.2">
      <c r="A19">
        <v>14</v>
      </c>
      <c r="B19" s="1">
        <v>54</v>
      </c>
      <c r="C19" s="1" t="s">
        <v>273</v>
      </c>
      <c r="D19" s="1" t="s">
        <v>313</v>
      </c>
      <c r="E19" t="s">
        <v>317</v>
      </c>
      <c r="F19" s="1">
        <v>54</v>
      </c>
      <c r="G19" s="2" t="s">
        <v>323</v>
      </c>
      <c r="H19" s="2" t="str">
        <f t="shared" si="0"/>
        <v>EXECUTE [dbo].[PG_CI_ARCUSFIL_PROGRAM]  0, 0, 'GR1','2021 WL 75 QUADS 2ND. ROW ARMR',54</v>
      </c>
      <c r="I19" s="3"/>
      <c r="J19" s="3"/>
    </row>
    <row r="20" spans="1:10" x14ac:dyDescent="0.2">
      <c r="A20">
        <v>15</v>
      </c>
      <c r="B20" s="1">
        <v>54</v>
      </c>
      <c r="C20" s="1" t="s">
        <v>273</v>
      </c>
      <c r="D20" s="1" t="s">
        <v>314</v>
      </c>
      <c r="E20" t="s">
        <v>318</v>
      </c>
      <c r="F20" s="1">
        <v>54</v>
      </c>
      <c r="G20" s="2" t="s">
        <v>323</v>
      </c>
      <c r="H20" s="2" t="str">
        <f t="shared" si="0"/>
        <v>EXECUTE [dbo].[PG_CI_ARCUSFIL_PROGRAM]  0, 0, 'GR2','WS FOLDING 2ND-ROW ARM REST',54</v>
      </c>
      <c r="I20" s="3"/>
      <c r="J20" s="3"/>
    </row>
    <row r="21" spans="1:10" x14ac:dyDescent="0.2">
      <c r="A21">
        <v>16</v>
      </c>
      <c r="B21" s="1">
        <v>54</v>
      </c>
      <c r="C21" s="1" t="s">
        <v>273</v>
      </c>
      <c r="D21" s="1" t="s">
        <v>315</v>
      </c>
      <c r="E21" t="s">
        <v>319</v>
      </c>
      <c r="F21" s="1">
        <v>54</v>
      </c>
      <c r="G21" s="2" t="s">
        <v>323</v>
      </c>
      <c r="H21" s="2" t="str">
        <f t="shared" si="0"/>
        <v>EXECUTE [dbo].[PG_CI_ARCUSFIL_PROGRAM]  0, 0, 'GRM','2021 WL 74/75 2ND. ROW ARMREST',54</v>
      </c>
      <c r="I21" s="3"/>
      <c r="J21" s="3"/>
    </row>
    <row r="22" spans="1:10" x14ac:dyDescent="0.2">
      <c r="A22">
        <v>17</v>
      </c>
      <c r="B22" s="1">
        <v>54</v>
      </c>
      <c r="C22" s="1" t="s">
        <v>273</v>
      </c>
      <c r="D22" s="1" t="s">
        <v>274</v>
      </c>
      <c r="E22" t="s">
        <v>275</v>
      </c>
      <c r="F22" s="1">
        <v>54</v>
      </c>
      <c r="G22" s="2" t="s">
        <v>323</v>
      </c>
      <c r="H22" s="2" t="str">
        <f t="shared" si="0"/>
        <v>EXECUTE [dbo].[PG_CI_ARCUSFIL_PROGRAM]  0, 0, 'GW2','2021 WL 75 QUADS 2ND. ROW AR',54</v>
      </c>
      <c r="I22" s="3"/>
      <c r="J22" s="2"/>
    </row>
    <row r="23" spans="1:10" x14ac:dyDescent="0.2">
      <c r="A23">
        <v>18</v>
      </c>
      <c r="B23" s="1">
        <v>54</v>
      </c>
      <c r="C23" s="1" t="s">
        <v>273</v>
      </c>
      <c r="D23" s="1" t="s">
        <v>271</v>
      </c>
      <c r="E23" t="s">
        <v>272</v>
      </c>
      <c r="F23" s="1">
        <v>54</v>
      </c>
      <c r="G23" s="2" t="s">
        <v>323</v>
      </c>
      <c r="H23" s="2" t="str">
        <f t="shared" si="0"/>
        <v>EXECUTE [dbo].[PG_CI_ARCUSFIL_PROGRAM]  0, 0, 'GWL','2021 WL 74/75 2ND. ROW ARMRE',54</v>
      </c>
      <c r="I23" s="3"/>
      <c r="J23" s="2"/>
    </row>
    <row r="24" spans="1:10" x14ac:dyDescent="0.2">
      <c r="A24">
        <v>19</v>
      </c>
      <c r="B24" s="1">
        <v>54</v>
      </c>
      <c r="C24" s="1" t="s">
        <v>273</v>
      </c>
      <c r="D24" s="1" t="s">
        <v>316</v>
      </c>
      <c r="E24" t="s">
        <v>320</v>
      </c>
      <c r="F24" s="1">
        <v>54</v>
      </c>
      <c r="G24" s="2" t="s">
        <v>323</v>
      </c>
      <c r="H24" s="2" t="str">
        <f t="shared" si="0"/>
        <v>EXECUTE [dbo].[PG_CI_ARCUSFIL_PROGRAM]  0, 0, 'GWS','2021 WS GRAN WAGONNER',54</v>
      </c>
      <c r="I24" s="3"/>
      <c r="J24" s="2"/>
    </row>
    <row r="25" spans="1:10" x14ac:dyDescent="0.2">
      <c r="A25">
        <v>20</v>
      </c>
      <c r="B25" s="1">
        <v>7</v>
      </c>
      <c r="C25" s="1" t="s">
        <v>235</v>
      </c>
      <c r="D25" s="1">
        <v>193</v>
      </c>
      <c r="E25" t="s">
        <v>270</v>
      </c>
      <c r="F25" s="1">
        <v>7</v>
      </c>
      <c r="G25" s="2" t="s">
        <v>323</v>
      </c>
      <c r="H25" s="2" t="str">
        <f t="shared" si="0"/>
        <v>EXECUTE [dbo].[PG_CI_ARCUSFIL_PROGRAM]  0, 0, '193','GMT 193 2007',7</v>
      </c>
      <c r="I25" s="3"/>
      <c r="J25" s="3"/>
    </row>
    <row r="26" spans="1:10" x14ac:dyDescent="0.2">
      <c r="A26">
        <v>21</v>
      </c>
      <c r="B26" s="1">
        <v>7</v>
      </c>
      <c r="C26" s="1" t="s">
        <v>235</v>
      </c>
      <c r="D26" s="1" t="s">
        <v>269</v>
      </c>
      <c r="E26" t="s">
        <v>99</v>
      </c>
      <c r="F26" s="1">
        <v>7</v>
      </c>
      <c r="G26" s="2" t="s">
        <v>323</v>
      </c>
      <c r="H26" s="2" t="str">
        <f t="shared" si="0"/>
        <v>EXECUTE [dbo].[PG_CI_ARCUSFIL_PROGRAM]  0, 0, '87C','U387 FORD CUTTING EDGE',7</v>
      </c>
      <c r="I26" s="3"/>
      <c r="J26" s="2"/>
    </row>
    <row r="27" spans="1:10" x14ac:dyDescent="0.2">
      <c r="A27">
        <v>22</v>
      </c>
      <c r="B27" s="1">
        <v>7</v>
      </c>
      <c r="C27" s="1" t="s">
        <v>235</v>
      </c>
      <c r="D27" s="1" t="s">
        <v>268</v>
      </c>
      <c r="E27" t="s">
        <v>102</v>
      </c>
      <c r="F27" s="1">
        <v>7</v>
      </c>
      <c r="G27" s="2" t="s">
        <v>323</v>
      </c>
      <c r="H27" s="2" t="str">
        <f t="shared" si="0"/>
        <v>EXECUTE [dbo].[PG_CI_ARCUSFIL_PROGRAM]  0, 0, '87P','U387 FORD PREMIUM',7</v>
      </c>
      <c r="J27" s="2"/>
    </row>
    <row r="28" spans="1:10" x14ac:dyDescent="0.2">
      <c r="A28">
        <v>23</v>
      </c>
      <c r="B28" s="1">
        <v>7</v>
      </c>
      <c r="C28" s="1" t="s">
        <v>235</v>
      </c>
      <c r="D28" s="1" t="s">
        <v>266</v>
      </c>
      <c r="E28" t="s">
        <v>267</v>
      </c>
      <c r="F28" s="1">
        <v>7</v>
      </c>
      <c r="G28" s="2" t="s">
        <v>323</v>
      </c>
      <c r="H28" s="2" t="str">
        <f t="shared" si="0"/>
        <v>EXECUTE [dbo].[PG_CI_ARCUSFIL_PROGRAM]  0, 0, '88A','U388 LINCOLN ARMREST',7</v>
      </c>
      <c r="J28" s="2"/>
    </row>
    <row r="29" spans="1:10" x14ac:dyDescent="0.2">
      <c r="A29">
        <v>24</v>
      </c>
      <c r="B29" s="1">
        <v>7</v>
      </c>
      <c r="C29" s="1" t="s">
        <v>235</v>
      </c>
      <c r="D29" s="1" t="s">
        <v>265</v>
      </c>
      <c r="E29" t="s">
        <v>20</v>
      </c>
      <c r="F29" s="1">
        <v>7</v>
      </c>
      <c r="G29" s="2" t="s">
        <v>323</v>
      </c>
      <c r="H29" s="2" t="str">
        <f t="shared" si="0"/>
        <v>EXECUTE [dbo].[PG_CI_ARCUSFIL_PROGRAM]  0, 0, '88H','U388 HEADREST',7</v>
      </c>
      <c r="I29" s="3"/>
      <c r="J29" s="3"/>
    </row>
    <row r="30" spans="1:10" x14ac:dyDescent="0.2">
      <c r="A30">
        <v>25</v>
      </c>
      <c r="B30" s="1">
        <v>7</v>
      </c>
      <c r="C30" s="1" t="s">
        <v>235</v>
      </c>
      <c r="D30" s="1" t="s">
        <v>264</v>
      </c>
      <c r="E30" t="s">
        <v>95</v>
      </c>
      <c r="F30" s="1">
        <v>7</v>
      </c>
      <c r="G30" s="2" t="s">
        <v>323</v>
      </c>
      <c r="H30" s="2" t="str">
        <f t="shared" si="0"/>
        <v>EXECUTE [dbo].[PG_CI_ARCUSFIL_PROGRAM]  0, 0, '88L','U388 LINCOLN LIMITED',7</v>
      </c>
      <c r="I30" s="3"/>
      <c r="J30" s="3"/>
    </row>
    <row r="31" spans="1:10" x14ac:dyDescent="0.2">
      <c r="A31">
        <v>26</v>
      </c>
      <c r="B31" s="1">
        <v>7</v>
      </c>
      <c r="C31" s="1" t="s">
        <v>235</v>
      </c>
      <c r="D31" s="1" t="s">
        <v>262</v>
      </c>
      <c r="E31" t="s">
        <v>263</v>
      </c>
      <c r="F31" s="1">
        <v>7</v>
      </c>
      <c r="G31" s="2" t="s">
        <v>323</v>
      </c>
      <c r="H31" s="2" t="str">
        <f t="shared" si="0"/>
        <v>EXECUTE [dbo].[PG_CI_ARCUSFIL_PROGRAM]  0, 0, 'GM1','GMT 191 PONTIAC TORRENT',7</v>
      </c>
      <c r="I31" s="3"/>
      <c r="J31" s="2"/>
    </row>
    <row r="32" spans="1:10" x14ac:dyDescent="0.2">
      <c r="A32">
        <v>27</v>
      </c>
      <c r="B32" s="1">
        <v>7</v>
      </c>
      <c r="C32" s="1" t="s">
        <v>235</v>
      </c>
      <c r="D32" s="1" t="s">
        <v>260</v>
      </c>
      <c r="E32" t="s">
        <v>261</v>
      </c>
      <c r="F32" s="1">
        <v>7</v>
      </c>
      <c r="G32" s="2" t="s">
        <v>323</v>
      </c>
      <c r="H32" s="2" t="str">
        <f t="shared" si="0"/>
        <v>EXECUTE [dbo].[PG_CI_ARCUSFIL_PROGRAM]  0, 0, 'GM2','GMT 192 PONTIAC PERSUIT',7</v>
      </c>
      <c r="I32" s="3"/>
      <c r="J32" s="2"/>
    </row>
    <row r="33" spans="1:10" x14ac:dyDescent="0.2">
      <c r="A33">
        <v>28</v>
      </c>
      <c r="B33" s="1">
        <v>7</v>
      </c>
      <c r="C33" s="1" t="s">
        <v>235</v>
      </c>
      <c r="D33" s="1" t="s">
        <v>259</v>
      </c>
      <c r="E33" t="s">
        <v>230</v>
      </c>
      <c r="F33" s="1">
        <v>7</v>
      </c>
      <c r="G33" s="2" t="s">
        <v>323</v>
      </c>
      <c r="H33" s="2" t="str">
        <f t="shared" si="0"/>
        <v>EXECUTE [dbo].[PG_CI_ARCUSFIL_PROGRAM]  0, 0, 'GM3','ARMREST GMT 193',7</v>
      </c>
      <c r="I33" s="3"/>
      <c r="J33" s="2"/>
    </row>
    <row r="34" spans="1:10" x14ac:dyDescent="0.2">
      <c r="A34">
        <v>29</v>
      </c>
      <c r="B34" s="1">
        <v>7</v>
      </c>
      <c r="C34" s="1" t="s">
        <v>235</v>
      </c>
      <c r="D34" s="1" t="s">
        <v>258</v>
      </c>
      <c r="E34" t="s">
        <v>225</v>
      </c>
      <c r="F34" s="1">
        <v>7</v>
      </c>
      <c r="G34" s="2" t="s">
        <v>323</v>
      </c>
      <c r="H34" s="2" t="str">
        <f t="shared" si="0"/>
        <v>EXECUTE [dbo].[PG_CI_ARCUSFIL_PROGRAM]  0, 0, 'GXP','GMT 192 GXP 2008',7</v>
      </c>
      <c r="I34" s="3"/>
      <c r="J34" s="2"/>
    </row>
    <row r="35" spans="1:10" x14ac:dyDescent="0.2">
      <c r="A35">
        <v>30</v>
      </c>
      <c r="B35" s="1">
        <v>7</v>
      </c>
      <c r="C35" s="1" t="s">
        <v>235</v>
      </c>
      <c r="D35" s="1" t="s">
        <v>256</v>
      </c>
      <c r="E35" t="s">
        <v>257</v>
      </c>
      <c r="F35" s="1">
        <v>7</v>
      </c>
      <c r="G35" s="2" t="s">
        <v>323</v>
      </c>
      <c r="H35" s="2" t="str">
        <f t="shared" si="0"/>
        <v>EXECUTE [dbo].[PG_CI_ARCUSFIL_PROGRAM]  0, 0, 'JJT','2019 JEEP JT',7</v>
      </c>
      <c r="I35" s="3"/>
      <c r="J35" s="2"/>
    </row>
    <row r="36" spans="1:10" x14ac:dyDescent="0.2">
      <c r="A36">
        <v>31</v>
      </c>
      <c r="B36" s="1">
        <v>7</v>
      </c>
      <c r="C36" s="1" t="s">
        <v>235</v>
      </c>
      <c r="D36" s="1" t="s">
        <v>254</v>
      </c>
      <c r="E36" t="s">
        <v>255</v>
      </c>
      <c r="F36" s="1">
        <v>7</v>
      </c>
      <c r="G36" s="2" t="s">
        <v>323</v>
      </c>
      <c r="H36" s="2" t="str">
        <f t="shared" si="0"/>
        <v>EXECUTE [dbo].[PG_CI_ARCUSFIL_PROGRAM]  0, 0, 'JLI','2018 JEEP JL',7</v>
      </c>
      <c r="I36" s="3"/>
      <c r="J36" s="2"/>
    </row>
    <row r="37" spans="1:10" x14ac:dyDescent="0.2">
      <c r="A37">
        <v>32</v>
      </c>
      <c r="B37" s="1">
        <v>7</v>
      </c>
      <c r="C37" s="1" t="s">
        <v>235</v>
      </c>
      <c r="D37" s="1" t="s">
        <v>252</v>
      </c>
      <c r="E37" t="s">
        <v>253</v>
      </c>
      <c r="F37" s="1">
        <v>7</v>
      </c>
      <c r="G37" s="2" t="s">
        <v>323</v>
      </c>
      <c r="H37" s="2" t="str">
        <f t="shared" si="0"/>
        <v>EXECUTE [dbo].[PG_CI_ARCUSFIL_PROGRAM]  0, 0, 'JPH','2020 JEEP JL PHEV',7</v>
      </c>
      <c r="I37" s="3"/>
      <c r="J37" s="2"/>
    </row>
    <row r="38" spans="1:10" x14ac:dyDescent="0.2">
      <c r="A38">
        <v>33</v>
      </c>
      <c r="B38" s="1">
        <v>7</v>
      </c>
      <c r="C38" s="1" t="s">
        <v>235</v>
      </c>
      <c r="D38" s="1" t="s">
        <v>250</v>
      </c>
      <c r="E38" t="s">
        <v>251</v>
      </c>
      <c r="F38" s="1">
        <v>7</v>
      </c>
      <c r="G38" s="2" t="s">
        <v>323</v>
      </c>
      <c r="H38" s="2" t="str">
        <f t="shared" si="0"/>
        <v>EXECUTE [dbo].[PG_CI_ARCUSFIL_PROGRAM]  0, 0, 'JPS','2021 JEEP JL PHEV SUMMIT',7</v>
      </c>
      <c r="J38" s="2"/>
    </row>
    <row r="39" spans="1:10" x14ac:dyDescent="0.2">
      <c r="A39">
        <v>34</v>
      </c>
      <c r="B39" s="1">
        <v>7</v>
      </c>
      <c r="C39" s="1" t="s">
        <v>235</v>
      </c>
      <c r="D39" s="1" t="s">
        <v>248</v>
      </c>
      <c r="E39" t="s">
        <v>249</v>
      </c>
      <c r="F39" s="1">
        <v>7</v>
      </c>
      <c r="G39" s="2" t="s">
        <v>323</v>
      </c>
      <c r="H39" s="2" t="str">
        <f t="shared" si="0"/>
        <v>EXECUTE [dbo].[PG_CI_ARCUSFIL_PROGRAM]  0, 0, 'JSU','JEEPJL SUMMIT',7</v>
      </c>
      <c r="J39" s="2"/>
    </row>
    <row r="40" spans="1:10" x14ac:dyDescent="0.2">
      <c r="A40">
        <v>35</v>
      </c>
      <c r="B40" s="1">
        <v>7</v>
      </c>
      <c r="C40" s="1" t="s">
        <v>235</v>
      </c>
      <c r="D40" s="1" t="s">
        <v>246</v>
      </c>
      <c r="E40" t="s">
        <v>247</v>
      </c>
      <c r="F40" s="1">
        <v>7</v>
      </c>
      <c r="G40" s="2" t="s">
        <v>323</v>
      </c>
      <c r="H40" s="2" t="str">
        <f t="shared" si="0"/>
        <v>EXECUTE [dbo].[PG_CI_ARCUSFIL_PROGRAM]  0, 0, 'JTM','2019 JEEP JT MOJAVE',7</v>
      </c>
      <c r="J40" s="3"/>
    </row>
    <row r="41" spans="1:10" x14ac:dyDescent="0.2">
      <c r="A41">
        <v>36</v>
      </c>
      <c r="B41" s="1">
        <v>7</v>
      </c>
      <c r="C41" s="1" t="s">
        <v>235</v>
      </c>
      <c r="D41" s="1" t="s">
        <v>244</v>
      </c>
      <c r="E41" t="s">
        <v>245</v>
      </c>
      <c r="F41" s="1">
        <v>7</v>
      </c>
      <c r="G41" s="2" t="s">
        <v>323</v>
      </c>
      <c r="H41" s="2" t="str">
        <f t="shared" si="0"/>
        <v>EXECUTE [dbo].[PG_CI_ARCUSFIL_PROGRAM]  0, 0, 'JTS','2021 JEEP JT SUMMIT',7</v>
      </c>
      <c r="J41" s="3"/>
    </row>
    <row r="42" spans="1:10" x14ac:dyDescent="0.2">
      <c r="A42">
        <v>37</v>
      </c>
      <c r="B42" s="1">
        <v>7</v>
      </c>
      <c r="C42" s="1" t="s">
        <v>235</v>
      </c>
      <c r="D42" s="1" t="s">
        <v>242</v>
      </c>
      <c r="E42" t="s">
        <v>243</v>
      </c>
      <c r="F42" s="1">
        <v>7</v>
      </c>
      <c r="G42" s="2" t="s">
        <v>323</v>
      </c>
      <c r="H42" s="2" t="str">
        <f t="shared" si="0"/>
        <v>EXECUTE [dbo].[PG_CI_ARCUSFIL_PROGRAM]  0, 0, 'VFL','V229 FORD FREESTAR LTD',7</v>
      </c>
      <c r="I42" s="3"/>
    </row>
    <row r="43" spans="1:10" x14ac:dyDescent="0.2">
      <c r="A43">
        <v>38</v>
      </c>
      <c r="B43" s="1">
        <v>7</v>
      </c>
      <c r="C43" s="1" t="s">
        <v>235</v>
      </c>
      <c r="D43" s="1" t="s">
        <v>240</v>
      </c>
      <c r="E43" t="s">
        <v>241</v>
      </c>
      <c r="F43" s="1">
        <v>7</v>
      </c>
      <c r="G43" s="2" t="s">
        <v>323</v>
      </c>
      <c r="H43" s="2" t="str">
        <f t="shared" si="0"/>
        <v>EXECUTE [dbo].[PG_CI_ARCUSFIL_PROGRAM]  0, 0, 'VML','V229 FREESTAR MERCURY LTD',7</v>
      </c>
      <c r="I43" s="3"/>
      <c r="J43" s="3"/>
    </row>
    <row r="44" spans="1:10" x14ac:dyDescent="0.2">
      <c r="A44">
        <v>39</v>
      </c>
      <c r="B44" s="1">
        <v>7</v>
      </c>
      <c r="C44" s="1" t="s">
        <v>235</v>
      </c>
      <c r="D44" s="1" t="s">
        <v>238</v>
      </c>
      <c r="E44" t="s">
        <v>239</v>
      </c>
      <c r="F44" s="1">
        <v>7</v>
      </c>
      <c r="G44" s="2" t="s">
        <v>323</v>
      </c>
      <c r="H44" s="2" t="str">
        <f t="shared" si="0"/>
        <v>EXECUTE [dbo].[PG_CI_ARCUSFIL_PROGRAM]  0, 0, 'VMP','V229 FREESTAR MPA',7</v>
      </c>
      <c r="I44" s="3"/>
      <c r="J44" s="3"/>
    </row>
    <row r="45" spans="1:10" x14ac:dyDescent="0.2">
      <c r="A45">
        <v>40</v>
      </c>
      <c r="B45" s="1">
        <v>7</v>
      </c>
      <c r="C45" s="1" t="s">
        <v>235</v>
      </c>
      <c r="D45" s="1" t="s">
        <v>236</v>
      </c>
      <c r="E45" t="s">
        <v>237</v>
      </c>
      <c r="F45" s="1">
        <v>7</v>
      </c>
      <c r="G45" s="2" t="s">
        <v>323</v>
      </c>
      <c r="H45" s="2" t="str">
        <f t="shared" si="0"/>
        <v>EXECUTE [dbo].[PG_CI_ARCUSFIL_PROGRAM]  0, 0, 'VMX','V229 FREESTAR MXA',7</v>
      </c>
      <c r="I45" s="3"/>
      <c r="J45" s="3"/>
    </row>
    <row r="46" spans="1:10" x14ac:dyDescent="0.2">
      <c r="A46">
        <v>41</v>
      </c>
      <c r="B46" s="1">
        <v>7</v>
      </c>
      <c r="C46" s="1" t="s">
        <v>235</v>
      </c>
      <c r="D46" s="1" t="s">
        <v>233</v>
      </c>
      <c r="E46" t="s">
        <v>234</v>
      </c>
      <c r="F46" s="1">
        <v>7</v>
      </c>
      <c r="G46" s="2" t="s">
        <v>323</v>
      </c>
      <c r="H46" s="2" t="str">
        <f t="shared" si="0"/>
        <v>EXECUTE [dbo].[PG_CI_ARCUSFIL_PROGRAM]  0, 0, 'WLS','WLS JEEP 2020',7</v>
      </c>
      <c r="I46" s="3"/>
      <c r="J46" s="3"/>
    </row>
    <row r="47" spans="1:10" x14ac:dyDescent="0.2">
      <c r="A47">
        <v>42</v>
      </c>
      <c r="B47" s="1">
        <v>34</v>
      </c>
      <c r="C47" s="1" t="s">
        <v>226</v>
      </c>
      <c r="D47" s="1">
        <v>191</v>
      </c>
      <c r="E47" t="s">
        <v>232</v>
      </c>
      <c r="F47" s="1">
        <v>34</v>
      </c>
      <c r="G47" s="2" t="s">
        <v>323</v>
      </c>
      <c r="H47" s="2" t="str">
        <f t="shared" si="0"/>
        <v>EXECUTE [dbo].[PG_CI_ARCUSFIL_PROGRAM]  0, 0, '191','GMT 191 2008',34</v>
      </c>
      <c r="I47" s="3"/>
      <c r="J47" s="3"/>
    </row>
    <row r="48" spans="1:10" x14ac:dyDescent="0.2">
      <c r="A48">
        <v>43</v>
      </c>
      <c r="B48" s="1">
        <v>34</v>
      </c>
      <c r="C48" s="1" t="s">
        <v>226</v>
      </c>
      <c r="D48" s="1">
        <v>192</v>
      </c>
      <c r="E48" t="s">
        <v>231</v>
      </c>
      <c r="F48" s="1">
        <v>34</v>
      </c>
      <c r="G48" s="2" t="s">
        <v>323</v>
      </c>
      <c r="H48" s="2" t="str">
        <f t="shared" si="0"/>
        <v>EXECUTE [dbo].[PG_CI_ARCUSFIL_PROGRAM]  0, 0, '192','GMT 192 2008',34</v>
      </c>
      <c r="I48" s="3"/>
      <c r="J48" s="3"/>
    </row>
    <row r="49" spans="1:10" x14ac:dyDescent="0.2">
      <c r="A49">
        <v>44</v>
      </c>
      <c r="B49" s="1">
        <v>34</v>
      </c>
      <c r="C49" s="1" t="s">
        <v>226</v>
      </c>
      <c r="D49" s="1" t="s">
        <v>229</v>
      </c>
      <c r="E49" t="s">
        <v>230</v>
      </c>
      <c r="F49" s="1">
        <v>34</v>
      </c>
      <c r="G49" s="2" t="s">
        <v>323</v>
      </c>
      <c r="H49" s="2" t="str">
        <f t="shared" si="0"/>
        <v>EXECUTE [dbo].[PG_CI_ARCUSFIL_PROGRAM]  0, 0, 'ARM','ARMREST GMT 193',34</v>
      </c>
      <c r="I49" s="3"/>
      <c r="J49" s="3"/>
    </row>
    <row r="50" spans="1:10" x14ac:dyDescent="0.2">
      <c r="A50">
        <v>45</v>
      </c>
      <c r="B50" s="1">
        <v>34</v>
      </c>
      <c r="C50" s="1" t="s">
        <v>226</v>
      </c>
      <c r="D50" s="1" t="s">
        <v>227</v>
      </c>
      <c r="E50" t="s">
        <v>228</v>
      </c>
      <c r="F50" s="1">
        <v>34</v>
      </c>
      <c r="G50" s="2" t="s">
        <v>323</v>
      </c>
      <c r="H50" s="2" t="str">
        <f t="shared" si="0"/>
        <v>EXECUTE [dbo].[PG_CI_ARCUSFIL_PROGRAM]  0, 0, 'G93','GMT 193 2008',34</v>
      </c>
      <c r="I50" s="3"/>
      <c r="J50" s="3"/>
    </row>
    <row r="51" spans="1:10" x14ac:dyDescent="0.2">
      <c r="A51">
        <v>46</v>
      </c>
      <c r="B51" s="1">
        <v>34</v>
      </c>
      <c r="C51" s="1" t="s">
        <v>226</v>
      </c>
      <c r="D51" s="1" t="s">
        <v>224</v>
      </c>
      <c r="E51" t="s">
        <v>225</v>
      </c>
      <c r="F51" s="1">
        <v>34</v>
      </c>
      <c r="G51" s="2" t="s">
        <v>323</v>
      </c>
      <c r="H51" s="2" t="str">
        <f t="shared" si="0"/>
        <v>EXECUTE [dbo].[PG_CI_ARCUSFIL_PROGRAM]  0, 0, 'GX2','GMT 192 GXP 2008',34</v>
      </c>
      <c r="I51" s="3"/>
      <c r="J51" s="2"/>
    </row>
    <row r="52" spans="1:10" x14ac:dyDescent="0.2">
      <c r="A52">
        <v>47</v>
      </c>
      <c r="B52" s="1">
        <v>32</v>
      </c>
      <c r="C52" s="1" t="s">
        <v>223</v>
      </c>
      <c r="D52" s="1" t="s">
        <v>221</v>
      </c>
      <c r="E52" t="s">
        <v>222</v>
      </c>
      <c r="F52" s="1">
        <v>32</v>
      </c>
      <c r="G52" s="2" t="s">
        <v>323</v>
      </c>
      <c r="H52" s="2" t="str">
        <f t="shared" si="0"/>
        <v>EXECUTE [dbo].[PG_CI_ARCUSFIL_PROGRAM]  0, 0, 'PL0','U388 CONSOLE',32</v>
      </c>
      <c r="J52" s="2"/>
    </row>
    <row r="53" spans="1:10" x14ac:dyDescent="0.2">
      <c r="A53">
        <v>48</v>
      </c>
      <c r="B53" s="1">
        <v>9</v>
      </c>
      <c r="C53" s="1" t="s">
        <v>217</v>
      </c>
      <c r="D53" s="1">
        <v>114</v>
      </c>
      <c r="E53" t="s">
        <v>220</v>
      </c>
      <c r="F53" s="1">
        <v>9</v>
      </c>
      <c r="G53" s="2" t="s">
        <v>323</v>
      </c>
      <c r="H53" s="2" t="str">
        <f t="shared" si="0"/>
        <v>EXECUTE [dbo].[PG_CI_ARCUSFIL_PROGRAM]  0, 0, '114','EN114 CONSOLE JCI',9</v>
      </c>
      <c r="I53" s="3"/>
      <c r="J53" s="3"/>
    </row>
    <row r="54" spans="1:10" x14ac:dyDescent="0.2">
      <c r="A54">
        <v>49</v>
      </c>
      <c r="B54" s="1">
        <v>9</v>
      </c>
      <c r="C54" s="1" t="s">
        <v>217</v>
      </c>
      <c r="D54" s="1" t="s">
        <v>218</v>
      </c>
      <c r="E54" t="s">
        <v>219</v>
      </c>
      <c r="F54" s="1">
        <v>9</v>
      </c>
      <c r="G54" s="2" t="s">
        <v>323</v>
      </c>
      <c r="H54" s="2" t="str">
        <f t="shared" si="0"/>
        <v>EXECUTE [dbo].[PG_CI_ARCUSFIL_PROGRAM]  0, 0, 'CHI','GM360 CHEVY / ISUZU /GMC CHINA',9</v>
      </c>
      <c r="I54" s="3"/>
      <c r="J54" s="2"/>
    </row>
    <row r="55" spans="1:10" x14ac:dyDescent="0.2">
      <c r="A55">
        <v>50</v>
      </c>
      <c r="B55" s="1">
        <v>9</v>
      </c>
      <c r="C55" s="1" t="s">
        <v>217</v>
      </c>
      <c r="D55" s="1" t="s">
        <v>215</v>
      </c>
      <c r="E55" t="s">
        <v>216</v>
      </c>
      <c r="F55" s="1">
        <v>9</v>
      </c>
      <c r="G55" s="2" t="s">
        <v>323</v>
      </c>
      <c r="H55" s="2" t="str">
        <f t="shared" si="0"/>
        <v>EXECUTE [dbo].[PG_CI_ARCUSFIL_PROGRAM]  0, 0, 'JCT','JCI-TESLA',9</v>
      </c>
      <c r="I55" s="3"/>
      <c r="J55" s="3"/>
    </row>
    <row r="56" spans="1:10" x14ac:dyDescent="0.2">
      <c r="A56">
        <v>51</v>
      </c>
      <c r="B56" s="1">
        <v>37</v>
      </c>
      <c r="C56" s="1" t="s">
        <v>202</v>
      </c>
      <c r="D56" s="1">
        <v>228</v>
      </c>
      <c r="E56" t="s">
        <v>214</v>
      </c>
      <c r="F56" s="1">
        <v>37</v>
      </c>
      <c r="G56" s="2" t="s">
        <v>323</v>
      </c>
      <c r="H56" s="2" t="str">
        <f t="shared" si="0"/>
        <v>EXECUTE [dbo].[PG_CI_ARCUSFIL_PROGRAM]  0, 0, '228','U228 NAVIGATOR LUX/ULT',37</v>
      </c>
      <c r="J56" s="3"/>
    </row>
    <row r="57" spans="1:10" x14ac:dyDescent="0.2">
      <c r="A57">
        <v>52</v>
      </c>
      <c r="B57" s="1">
        <v>37</v>
      </c>
      <c r="C57" s="1" t="s">
        <v>202</v>
      </c>
      <c r="D57" s="1">
        <v>415</v>
      </c>
      <c r="E57" t="s">
        <v>213</v>
      </c>
      <c r="F57" s="1">
        <v>37</v>
      </c>
      <c r="G57" s="2" t="s">
        <v>323</v>
      </c>
      <c r="H57" s="2" t="str">
        <f t="shared" si="0"/>
        <v>EXECUTE [dbo].[PG_CI_ARCUSFIL_PROGRAM]  0, 0, '415','P415 PLATINIUM',37</v>
      </c>
      <c r="J57" s="3"/>
    </row>
    <row r="58" spans="1:10" x14ac:dyDescent="0.2">
      <c r="A58">
        <v>53</v>
      </c>
      <c r="B58" s="1">
        <v>37</v>
      </c>
      <c r="C58" s="1" t="s">
        <v>202</v>
      </c>
      <c r="D58" s="1" t="s">
        <v>211</v>
      </c>
      <c r="E58" t="s">
        <v>212</v>
      </c>
      <c r="F58" s="1">
        <v>37</v>
      </c>
      <c r="G58" s="2" t="s">
        <v>323</v>
      </c>
      <c r="H58" s="2" t="str">
        <f t="shared" si="0"/>
        <v>EXECUTE [dbo].[PG_CI_ARCUSFIL_PROGRAM]  0, 0, 'BUI','GM 360 BUICK',37</v>
      </c>
      <c r="J58" s="2"/>
    </row>
    <row r="59" spans="1:10" x14ac:dyDescent="0.2">
      <c r="A59">
        <v>54</v>
      </c>
      <c r="B59" s="1">
        <v>37</v>
      </c>
      <c r="C59" s="1" t="s">
        <v>202</v>
      </c>
      <c r="D59" s="1" t="s">
        <v>209</v>
      </c>
      <c r="E59" t="s">
        <v>210</v>
      </c>
      <c r="F59" s="1">
        <v>37</v>
      </c>
      <c r="G59" s="2" t="s">
        <v>323</v>
      </c>
      <c r="H59" s="2" t="str">
        <f t="shared" si="0"/>
        <v>EXECUTE [dbo].[PG_CI_ARCUSFIL_PROGRAM]  0, 0, 'CHE','GM 360 CHEVY / ISUZU / GMC',37</v>
      </c>
      <c r="I59" s="3"/>
      <c r="J59" s="2"/>
    </row>
    <row r="60" spans="1:10" x14ac:dyDescent="0.2">
      <c r="A60">
        <v>55</v>
      </c>
      <c r="B60" s="1">
        <v>37</v>
      </c>
      <c r="C60" s="1" t="s">
        <v>202</v>
      </c>
      <c r="D60" s="1" t="s">
        <v>207</v>
      </c>
      <c r="E60" t="s">
        <v>208</v>
      </c>
      <c r="F60" s="1">
        <v>37</v>
      </c>
      <c r="G60" s="2" t="s">
        <v>323</v>
      </c>
      <c r="H60" s="2" t="str">
        <f t="shared" si="0"/>
        <v>EXECUTE [dbo].[PG_CI_ARCUSFIL_PROGRAM]  0, 0, 'DEN','GM 360 DENALY',37</v>
      </c>
      <c r="I60" s="3"/>
      <c r="J60" s="3"/>
    </row>
    <row r="61" spans="1:10" x14ac:dyDescent="0.2">
      <c r="A61">
        <v>56</v>
      </c>
      <c r="B61" s="1">
        <v>37</v>
      </c>
      <c r="C61" s="1" t="s">
        <v>202</v>
      </c>
      <c r="D61" s="1" t="s">
        <v>205</v>
      </c>
      <c r="E61" t="s">
        <v>206</v>
      </c>
      <c r="F61" s="1">
        <v>37</v>
      </c>
      <c r="G61" s="2" t="s">
        <v>323</v>
      </c>
      <c r="H61" s="2" t="str">
        <f t="shared" si="0"/>
        <v>EXECUTE [dbo].[PG_CI_ARCUSFIL_PROGRAM]  0, 0, 'GSS','GM 360 TRAILBLAZER SS',37</v>
      </c>
      <c r="J61" s="3"/>
    </row>
    <row r="62" spans="1:10" x14ac:dyDescent="0.2">
      <c r="A62">
        <v>57</v>
      </c>
      <c r="B62" s="1">
        <v>37</v>
      </c>
      <c r="C62" s="1" t="s">
        <v>202</v>
      </c>
      <c r="D62" s="1" t="s">
        <v>203</v>
      </c>
      <c r="E62" t="s">
        <v>204</v>
      </c>
      <c r="F62" s="1">
        <v>37</v>
      </c>
      <c r="G62" s="2" t="s">
        <v>323</v>
      </c>
      <c r="H62" s="2" t="str">
        <f t="shared" si="0"/>
        <v>EXECUTE [dbo].[PG_CI_ARCUSFIL_PROGRAM]  0, 0, 'NAV','U228 NAVIGATOR LUX EDIASA 3',37</v>
      </c>
      <c r="I62" s="3"/>
      <c r="J62" s="3"/>
    </row>
    <row r="63" spans="1:10" x14ac:dyDescent="0.2">
      <c r="A63">
        <v>58</v>
      </c>
      <c r="B63" s="1">
        <v>37</v>
      </c>
      <c r="C63" s="1" t="s">
        <v>202</v>
      </c>
      <c r="D63" s="1" t="s">
        <v>200</v>
      </c>
      <c r="E63" t="s">
        <v>201</v>
      </c>
      <c r="F63" s="1">
        <v>37</v>
      </c>
      <c r="G63" s="2" t="s">
        <v>323</v>
      </c>
      <c r="H63" s="2" t="str">
        <f t="shared" si="0"/>
        <v>EXECUTE [dbo].[PG_CI_ARCUSFIL_PROGRAM]  0, 0, 'SAA','GM 360 SAAB',37</v>
      </c>
      <c r="I63" s="3"/>
      <c r="J63" s="3"/>
    </row>
    <row r="64" spans="1:10" x14ac:dyDescent="0.2">
      <c r="A64">
        <v>59</v>
      </c>
      <c r="B64" s="1">
        <v>38</v>
      </c>
      <c r="C64" s="1" t="s">
        <v>197</v>
      </c>
      <c r="D64" s="1" t="s">
        <v>198</v>
      </c>
      <c r="E64" t="s">
        <v>199</v>
      </c>
      <c r="F64" s="1">
        <v>38</v>
      </c>
      <c r="G64" s="2" t="s">
        <v>323</v>
      </c>
      <c r="H64" s="2" t="str">
        <f t="shared" si="0"/>
        <v>EXECUTE [dbo].[PG_CI_ARCUSFIL_PROGRAM]  0, 0, 'SHA','GM 360 CHEVY/ISUZU/GMC SHANGAI',38</v>
      </c>
      <c r="J64" s="3"/>
    </row>
    <row r="65" spans="1:10" x14ac:dyDescent="0.2">
      <c r="A65">
        <v>60</v>
      </c>
      <c r="B65" s="1">
        <v>38</v>
      </c>
      <c r="C65" s="1" t="s">
        <v>197</v>
      </c>
      <c r="D65" s="1" t="s">
        <v>195</v>
      </c>
      <c r="E65" t="s">
        <v>196</v>
      </c>
      <c r="F65" s="1">
        <v>38</v>
      </c>
      <c r="G65" s="2" t="s">
        <v>323</v>
      </c>
      <c r="H65" s="2" t="str">
        <f t="shared" si="0"/>
        <v>EXECUTE [dbo].[PG_CI_ARCUSFIL_PROGRAM]  0, 0, 'SHI','GM360 CHEVY SHANGAI',38</v>
      </c>
    </row>
    <row r="66" spans="1:10" x14ac:dyDescent="0.2">
      <c r="A66">
        <v>61</v>
      </c>
      <c r="B66" s="1">
        <v>39</v>
      </c>
      <c r="C66" s="1" t="s">
        <v>194</v>
      </c>
      <c r="D66" s="1" t="s">
        <v>193</v>
      </c>
      <c r="E66" t="s">
        <v>20</v>
      </c>
      <c r="F66" s="1">
        <v>39</v>
      </c>
      <c r="G66" s="2" t="s">
        <v>323</v>
      </c>
      <c r="H66" s="2" t="str">
        <f t="shared" si="0"/>
        <v>EXECUTE [dbo].[PG_CI_ARCUSFIL_PROGRAM]  0, 0, 'KHE','U388 HEADREST',39</v>
      </c>
      <c r="J66" s="3"/>
    </row>
    <row r="67" spans="1:10" x14ac:dyDescent="0.2">
      <c r="A67">
        <v>62</v>
      </c>
      <c r="B67" s="1">
        <v>13</v>
      </c>
      <c r="C67" s="1" t="s">
        <v>175</v>
      </c>
      <c r="D67" s="1">
        <v>365</v>
      </c>
      <c r="E67" t="s">
        <v>192</v>
      </c>
      <c r="F67" s="1">
        <v>13</v>
      </c>
      <c r="G67" s="2" t="s">
        <v>323</v>
      </c>
      <c r="H67" s="2" t="str">
        <f t="shared" si="0"/>
        <v>EXECUTE [dbo].[PG_CI_ARCUSFIL_PROGRAM]  0, 0, '365','GMX 365 2008 FIXED',13</v>
      </c>
      <c r="J67" s="3"/>
    </row>
    <row r="68" spans="1:10" x14ac:dyDescent="0.2">
      <c r="A68">
        <v>63</v>
      </c>
      <c r="B68" s="1">
        <v>13</v>
      </c>
      <c r="C68" s="1" t="s">
        <v>175</v>
      </c>
      <c r="D68" s="1" t="s">
        <v>190</v>
      </c>
      <c r="E68" t="s">
        <v>191</v>
      </c>
      <c r="F68" s="1">
        <v>13</v>
      </c>
      <c r="G68" s="2" t="s">
        <v>323</v>
      </c>
      <c r="H68" s="2" t="str">
        <f t="shared" si="0"/>
        <v>EXECUTE [dbo].[PG_CI_ARCUSFIL_PROGRAM]  0, 0, 'CAL','2013 S197 MUSTANG CALIFORNIA',13</v>
      </c>
      <c r="J68" s="3"/>
    </row>
    <row r="69" spans="1:10" x14ac:dyDescent="0.2">
      <c r="A69">
        <v>64</v>
      </c>
      <c r="B69" s="1">
        <v>13</v>
      </c>
      <c r="C69" s="1" t="s">
        <v>175</v>
      </c>
      <c r="D69" s="1" t="s">
        <v>188</v>
      </c>
      <c r="E69" t="s">
        <v>189</v>
      </c>
      <c r="F69" s="1">
        <v>13</v>
      </c>
      <c r="G69" s="2" t="s">
        <v>323</v>
      </c>
      <c r="H69" s="2" t="str">
        <f t="shared" si="0"/>
        <v>EXECUTE [dbo].[PG_CI_ARCUSFIL_PROGRAM]  0, 0, 'G65','GMX365 BUICK LACROSSE',13</v>
      </c>
      <c r="J69" s="3"/>
    </row>
    <row r="70" spans="1:10" x14ac:dyDescent="0.2">
      <c r="A70">
        <v>65</v>
      </c>
      <c r="B70" s="1">
        <v>13</v>
      </c>
      <c r="C70" s="1" t="s">
        <v>175</v>
      </c>
      <c r="D70" s="1" t="s">
        <v>186</v>
      </c>
      <c r="E70" t="s">
        <v>187</v>
      </c>
      <c r="F70" s="1">
        <v>13</v>
      </c>
      <c r="G70" s="2" t="s">
        <v>323</v>
      </c>
      <c r="H70" s="2" t="str">
        <f t="shared" si="0"/>
        <v>EXECUTE [dbo].[PG_CI_ARCUSFIL_PROGRAM]  0, 0, 'IUP','2013 S197 MUSTANG IUP',13</v>
      </c>
      <c r="J70" s="3"/>
    </row>
    <row r="71" spans="1:10" x14ac:dyDescent="0.2">
      <c r="A71">
        <v>66</v>
      </c>
      <c r="B71" s="1">
        <v>13</v>
      </c>
      <c r="C71" s="1" t="s">
        <v>175</v>
      </c>
      <c r="D71" s="1" t="s">
        <v>184</v>
      </c>
      <c r="E71" t="s">
        <v>185</v>
      </c>
      <c r="F71" s="1">
        <v>13</v>
      </c>
      <c r="G71" s="2" t="s">
        <v>323</v>
      </c>
      <c r="H71" s="2" t="str">
        <f t="shared" ref="H71:H134" si="1">_xlfn.CONCAT(G71,"'",D71,"'",$H$5,"'",TRIM(E71),"'",$H$5,F71)</f>
        <v>EXECUTE [dbo].[PG_CI_ARCUSFIL_PROGRAM]  0, 0, 'PRM','2013 S197 MUSTANG PREMIUM',13</v>
      </c>
      <c r="J71" s="3"/>
    </row>
    <row r="72" spans="1:10" x14ac:dyDescent="0.2">
      <c r="A72">
        <v>67</v>
      </c>
      <c r="B72" s="1">
        <v>13</v>
      </c>
      <c r="C72" s="1" t="s">
        <v>175</v>
      </c>
      <c r="D72" s="1" t="s">
        <v>182</v>
      </c>
      <c r="E72" t="s">
        <v>183</v>
      </c>
      <c r="F72" s="1">
        <v>13</v>
      </c>
      <c r="G72" s="2" t="s">
        <v>323</v>
      </c>
      <c r="H72" s="2" t="str">
        <f t="shared" si="1"/>
        <v>EXECUTE [dbo].[PG_CI_ARCUSFIL_PROGRAM]  0, 0, 'SH1','2013 S197 MUSTANG SHELBY 5B8',13</v>
      </c>
      <c r="J72" s="3"/>
    </row>
    <row r="73" spans="1:10" x14ac:dyDescent="0.2">
      <c r="A73">
        <v>68</v>
      </c>
      <c r="B73" s="1">
        <v>13</v>
      </c>
      <c r="C73" s="1" t="s">
        <v>175</v>
      </c>
      <c r="D73" s="1" t="s">
        <v>180</v>
      </c>
      <c r="E73" t="s">
        <v>181</v>
      </c>
      <c r="F73" s="1">
        <v>13</v>
      </c>
      <c r="G73" s="2" t="s">
        <v>323</v>
      </c>
      <c r="H73" s="2" t="str">
        <f t="shared" si="1"/>
        <v>EXECUTE [dbo].[PG_CI_ARCUSFIL_PROGRAM]  0, 0, 'SH2','2013 S197 MUSTANG SHELBY TT',13</v>
      </c>
      <c r="I73" s="3"/>
      <c r="J73" s="3"/>
    </row>
    <row r="74" spans="1:10" x14ac:dyDescent="0.2">
      <c r="A74">
        <v>69</v>
      </c>
      <c r="B74" s="1">
        <v>13</v>
      </c>
      <c r="C74" s="1" t="s">
        <v>175</v>
      </c>
      <c r="D74" s="1" t="s">
        <v>178</v>
      </c>
      <c r="E74" t="s">
        <v>179</v>
      </c>
      <c r="F74" s="1">
        <v>13</v>
      </c>
      <c r="G74" s="2" t="s">
        <v>323</v>
      </c>
      <c r="H74" s="2" t="str">
        <f t="shared" si="1"/>
        <v>EXECUTE [dbo].[PG_CI_ARCUSFIL_PROGRAM]  0, 0, 'THL','2013 D258 TAURUS LTD',13</v>
      </c>
      <c r="I74" s="3"/>
      <c r="J74" s="3"/>
    </row>
    <row r="75" spans="1:10" x14ac:dyDescent="0.2">
      <c r="A75">
        <v>70</v>
      </c>
      <c r="B75" s="1">
        <v>13</v>
      </c>
      <c r="C75" s="1" t="s">
        <v>175</v>
      </c>
      <c r="D75" s="1" t="s">
        <v>176</v>
      </c>
      <c r="E75" t="s">
        <v>177</v>
      </c>
      <c r="F75" s="1">
        <v>13</v>
      </c>
      <c r="G75" s="2" t="s">
        <v>323</v>
      </c>
      <c r="H75" s="2" t="str">
        <f t="shared" si="1"/>
        <v>EXECUTE [dbo].[PG_CI_ARCUSFIL_PROGRAM]  0, 0, 'THO','2013 D258 TAURUS SHO &amp; LIMITED',13</v>
      </c>
      <c r="I75" s="3"/>
      <c r="J75" s="3"/>
    </row>
    <row r="76" spans="1:10" x14ac:dyDescent="0.2">
      <c r="A76">
        <v>71</v>
      </c>
      <c r="B76" s="1">
        <v>13</v>
      </c>
      <c r="C76" s="1" t="s">
        <v>175</v>
      </c>
      <c r="D76" s="1" t="s">
        <v>173</v>
      </c>
      <c r="E76" t="s">
        <v>174</v>
      </c>
      <c r="F76" s="1">
        <v>13</v>
      </c>
      <c r="G76" s="2" t="s">
        <v>323</v>
      </c>
      <c r="H76" s="2" t="str">
        <f t="shared" si="1"/>
        <v>EXECUTE [dbo].[PG_CI_ARCUSFIL_PROGRAM]  0, 0, 'TSL','2013 D258 TAURUS SEL',13</v>
      </c>
      <c r="I76" s="3"/>
      <c r="J76" s="3"/>
    </row>
    <row r="77" spans="1:10" x14ac:dyDescent="0.2">
      <c r="A77">
        <v>72</v>
      </c>
      <c r="B77" s="1">
        <v>17</v>
      </c>
      <c r="C77" s="1" t="s">
        <v>136</v>
      </c>
      <c r="D77" s="1" t="s">
        <v>171</v>
      </c>
      <c r="E77" t="s">
        <v>172</v>
      </c>
      <c r="F77" s="1">
        <v>17</v>
      </c>
      <c r="G77" s="2" t="s">
        <v>323</v>
      </c>
      <c r="H77" s="2" t="str">
        <f t="shared" si="1"/>
        <v>EXECUTE [dbo].[PG_CI_ARCUSFIL_PROGRAM]  0, 0, 'GMC','GMX 001 COUPE',17</v>
      </c>
      <c r="I77" s="3"/>
      <c r="J77" s="2"/>
    </row>
    <row r="78" spans="1:10" x14ac:dyDescent="0.2">
      <c r="A78">
        <v>73</v>
      </c>
      <c r="B78" s="1">
        <v>17</v>
      </c>
      <c r="C78" s="1" t="s">
        <v>136</v>
      </c>
      <c r="D78" s="1" t="s">
        <v>169</v>
      </c>
      <c r="E78" t="s">
        <v>170</v>
      </c>
      <c r="F78" s="1">
        <v>17</v>
      </c>
      <c r="G78" s="2" t="s">
        <v>323</v>
      </c>
      <c r="H78" s="2" t="str">
        <f t="shared" si="1"/>
        <v>EXECUTE [dbo].[PG_CI_ARCUSFIL_PROGRAM]  0, 0, 'GX1','GMX 001 COUPE L4',17</v>
      </c>
      <c r="I78" s="3"/>
    </row>
    <row r="79" spans="1:10" x14ac:dyDescent="0.2">
      <c r="A79">
        <v>74</v>
      </c>
      <c r="B79" s="1">
        <v>17</v>
      </c>
      <c r="C79" s="1" t="s">
        <v>136</v>
      </c>
      <c r="D79" s="1" t="s">
        <v>167</v>
      </c>
      <c r="E79" t="s">
        <v>168</v>
      </c>
      <c r="F79" s="1">
        <v>17</v>
      </c>
      <c r="G79" s="2" t="s">
        <v>323</v>
      </c>
      <c r="H79" s="2" t="str">
        <f t="shared" si="1"/>
        <v>EXECUTE [dbo].[PG_CI_ARCUSFIL_PROGRAM]  0, 0, 'GXS','GMX001 SEDAN',17</v>
      </c>
      <c r="I79" s="3"/>
      <c r="J79" s="2"/>
    </row>
    <row r="80" spans="1:10" x14ac:dyDescent="0.2">
      <c r="A80">
        <v>75</v>
      </c>
      <c r="B80" s="1">
        <v>17</v>
      </c>
      <c r="C80" s="1" t="s">
        <v>136</v>
      </c>
      <c r="D80" s="1" t="s">
        <v>165</v>
      </c>
      <c r="E80" t="s">
        <v>166</v>
      </c>
      <c r="F80" s="1">
        <v>17</v>
      </c>
      <c r="G80" s="2" t="s">
        <v>323</v>
      </c>
      <c r="H80" s="2" t="str">
        <f t="shared" si="1"/>
        <v>EXECUTE [dbo].[PG_CI_ARCUSFIL_PROGRAM]  0, 0, 'HRM','U377 HEADREST 2010',17</v>
      </c>
      <c r="I80" s="3"/>
    </row>
    <row r="81" spans="1:10" x14ac:dyDescent="0.2">
      <c r="A81">
        <v>76</v>
      </c>
      <c r="B81" s="1">
        <v>17</v>
      </c>
      <c r="C81" s="1" t="s">
        <v>136</v>
      </c>
      <c r="D81" s="1" t="s">
        <v>163</v>
      </c>
      <c r="E81" t="s">
        <v>164</v>
      </c>
      <c r="F81" s="1">
        <v>17</v>
      </c>
      <c r="G81" s="2" t="s">
        <v>323</v>
      </c>
      <c r="H81" s="2" t="str">
        <f t="shared" si="1"/>
        <v>EXECUTE [dbo].[PG_CI_ARCUSFIL_PROGRAM]  0, 0, 'MAZ','U377 MAZDA PREMIUM 2009',17</v>
      </c>
      <c r="I81" s="3"/>
      <c r="J81" s="2"/>
    </row>
    <row r="82" spans="1:10" x14ac:dyDescent="0.2">
      <c r="A82">
        <v>77</v>
      </c>
      <c r="B82" s="1">
        <v>17</v>
      </c>
      <c r="C82" s="1" t="s">
        <v>136</v>
      </c>
      <c r="D82" s="1" t="s">
        <v>161</v>
      </c>
      <c r="E82" t="s">
        <v>162</v>
      </c>
      <c r="F82" s="1">
        <v>17</v>
      </c>
      <c r="G82" s="2" t="s">
        <v>323</v>
      </c>
      <c r="H82" s="2" t="str">
        <f t="shared" si="1"/>
        <v>EXECUTE [dbo].[PG_CI_ARCUSFIL_PROGRAM]  0, 0, 'MP9','U377 MERCURY PREMIUM 2009',17</v>
      </c>
      <c r="I82" s="3"/>
      <c r="J82" s="2"/>
    </row>
    <row r="83" spans="1:10" x14ac:dyDescent="0.2">
      <c r="A83">
        <v>78</v>
      </c>
      <c r="B83" s="1">
        <v>17</v>
      </c>
      <c r="C83" s="1" t="s">
        <v>136</v>
      </c>
      <c r="D83" s="1" t="s">
        <v>159</v>
      </c>
      <c r="E83" t="s">
        <v>160</v>
      </c>
      <c r="F83" s="1">
        <v>17</v>
      </c>
      <c r="G83" s="2" t="s">
        <v>323</v>
      </c>
      <c r="H83" s="2" t="str">
        <f t="shared" si="1"/>
        <v>EXECUTE [dbo].[PG_CI_ARCUSFIL_PROGRAM]  0, 0, 'PL1','U377 FORD PREMIUM 11 PLM',17</v>
      </c>
      <c r="I83" s="3"/>
      <c r="J83" s="2"/>
    </row>
    <row r="84" spans="1:10" x14ac:dyDescent="0.2">
      <c r="A84">
        <v>79</v>
      </c>
      <c r="B84" s="1">
        <v>17</v>
      </c>
      <c r="C84" s="1" t="s">
        <v>136</v>
      </c>
      <c r="D84" s="1" t="s">
        <v>157</v>
      </c>
      <c r="E84" t="s">
        <v>158</v>
      </c>
      <c r="F84" s="1">
        <v>17</v>
      </c>
      <c r="G84" s="2" t="s">
        <v>323</v>
      </c>
      <c r="H84" s="2" t="str">
        <f t="shared" si="1"/>
        <v>EXECUTE [dbo].[PG_CI_ARCUSFIL_PROGRAM]  0, 0, 'PLA','VN-127 FORD ECONOLINE',17</v>
      </c>
      <c r="I84" s="3"/>
      <c r="J84" s="2"/>
    </row>
    <row r="85" spans="1:10" x14ac:dyDescent="0.2">
      <c r="A85">
        <v>80</v>
      </c>
      <c r="B85" s="1">
        <v>17</v>
      </c>
      <c r="C85" s="1" t="s">
        <v>136</v>
      </c>
      <c r="D85" s="1" t="s">
        <v>155</v>
      </c>
      <c r="E85" t="s">
        <v>156</v>
      </c>
      <c r="F85" s="1">
        <v>17</v>
      </c>
      <c r="G85" s="2" t="s">
        <v>323</v>
      </c>
      <c r="H85" s="2" t="str">
        <f t="shared" si="1"/>
        <v>EXECUTE [dbo].[PG_CI_ARCUSFIL_PROGRAM]  0, 0, 'U20','U204 MAZDA AIR BAG',17</v>
      </c>
      <c r="I85" s="3"/>
      <c r="J85" s="2"/>
    </row>
    <row r="86" spans="1:10" x14ac:dyDescent="0.2">
      <c r="A86">
        <v>81</v>
      </c>
      <c r="B86" s="1">
        <v>17</v>
      </c>
      <c r="C86" s="1" t="s">
        <v>136</v>
      </c>
      <c r="D86" s="1" t="s">
        <v>153</v>
      </c>
      <c r="E86" t="s">
        <v>154</v>
      </c>
      <c r="F86" s="1">
        <v>17</v>
      </c>
      <c r="G86" s="2" t="s">
        <v>323</v>
      </c>
      <c r="H86" s="2" t="str">
        <f t="shared" si="1"/>
        <v>EXECUTE [dbo].[PG_CI_ARCUSFIL_PROGRAM]  0, 0, 'U2F','U204 FORD LTD AB',17</v>
      </c>
      <c r="I86" s="3"/>
      <c r="J86" s="2"/>
    </row>
    <row r="87" spans="1:10" x14ac:dyDescent="0.2">
      <c r="A87">
        <v>82</v>
      </c>
      <c r="B87" s="1">
        <v>17</v>
      </c>
      <c r="C87" s="1" t="s">
        <v>136</v>
      </c>
      <c r="D87" s="1" t="s">
        <v>151</v>
      </c>
      <c r="E87" t="s">
        <v>152</v>
      </c>
      <c r="F87" s="1">
        <v>17</v>
      </c>
      <c r="G87" s="2" t="s">
        <v>323</v>
      </c>
      <c r="H87" s="2" t="str">
        <f t="shared" si="1"/>
        <v>EXECUTE [dbo].[PG_CI_ARCUSFIL_PROGRAM]  0, 0, 'U2L','U204 FORD LTD STD',17</v>
      </c>
      <c r="I87" s="3"/>
      <c r="J87" s="2"/>
    </row>
    <row r="88" spans="1:10" x14ac:dyDescent="0.2">
      <c r="A88">
        <v>83</v>
      </c>
      <c r="B88" s="1">
        <v>17</v>
      </c>
      <c r="C88" s="1" t="s">
        <v>136</v>
      </c>
      <c r="D88" s="1" t="s">
        <v>149</v>
      </c>
      <c r="E88" t="s">
        <v>150</v>
      </c>
      <c r="F88" s="1">
        <v>17</v>
      </c>
      <c r="G88" s="2" t="s">
        <v>323</v>
      </c>
      <c r="H88" s="2" t="str">
        <f t="shared" si="1"/>
        <v>EXECUTE [dbo].[PG_CI_ARCUSFIL_PROGRAM]  0, 0, 'U2M','U204 MAZDA PREMIUM',17</v>
      </c>
      <c r="I88" s="3"/>
      <c r="J88" s="3"/>
    </row>
    <row r="89" spans="1:10" x14ac:dyDescent="0.2">
      <c r="A89">
        <v>84</v>
      </c>
      <c r="B89" s="1">
        <v>17</v>
      </c>
      <c r="C89" s="1" t="s">
        <v>136</v>
      </c>
      <c r="D89" s="1" t="s">
        <v>147</v>
      </c>
      <c r="E89" t="s">
        <v>148</v>
      </c>
      <c r="F89" s="1">
        <v>17</v>
      </c>
      <c r="G89" s="2" t="s">
        <v>323</v>
      </c>
      <c r="H89" s="2" t="str">
        <f t="shared" si="1"/>
        <v>EXECUTE [dbo].[PG_CI_ARCUSFIL_PROGRAM]  0, 0, 'U37','U377 MERCURY LTD 2008',17</v>
      </c>
      <c r="J89" s="3"/>
    </row>
    <row r="90" spans="1:10" x14ac:dyDescent="0.2">
      <c r="A90">
        <v>85</v>
      </c>
      <c r="B90" s="1">
        <v>17</v>
      </c>
      <c r="C90" s="1" t="s">
        <v>136</v>
      </c>
      <c r="D90" s="1" t="s">
        <v>145</v>
      </c>
      <c r="E90" t="s">
        <v>146</v>
      </c>
      <c r="F90" s="1">
        <v>17</v>
      </c>
      <c r="G90" s="2" t="s">
        <v>323</v>
      </c>
      <c r="H90" s="2" t="str">
        <f t="shared" si="1"/>
        <v>EXECUTE [dbo].[PG_CI_ARCUSFIL_PROGRAM]  0, 0, 'U3L','U364 MERCURY LTD STD',17</v>
      </c>
      <c r="I90" s="3"/>
      <c r="J90" s="2"/>
    </row>
    <row r="91" spans="1:10" x14ac:dyDescent="0.2">
      <c r="A91">
        <v>86</v>
      </c>
      <c r="B91" s="1">
        <v>17</v>
      </c>
      <c r="C91" s="1" t="s">
        <v>136</v>
      </c>
      <c r="D91" s="1" t="s">
        <v>143</v>
      </c>
      <c r="E91" t="s">
        <v>144</v>
      </c>
      <c r="F91" s="1">
        <v>17</v>
      </c>
      <c r="G91" s="2" t="s">
        <v>323</v>
      </c>
      <c r="H91" s="2" t="str">
        <f t="shared" si="1"/>
        <v>EXECUTE [dbo].[PG_CI_ARCUSFIL_PROGRAM]  0, 0, 'U3M','U377 MERCURY PREMIUM 2008',17</v>
      </c>
      <c r="I91" s="3"/>
      <c r="J91" s="2"/>
    </row>
    <row r="92" spans="1:10" x14ac:dyDescent="0.2">
      <c r="A92">
        <v>87</v>
      </c>
      <c r="B92" s="1">
        <v>17</v>
      </c>
      <c r="C92" s="1" t="s">
        <v>136</v>
      </c>
      <c r="D92" s="1" t="s">
        <v>141</v>
      </c>
      <c r="E92" t="s">
        <v>142</v>
      </c>
      <c r="F92" s="1">
        <v>17</v>
      </c>
      <c r="G92" s="2" t="s">
        <v>323</v>
      </c>
      <c r="H92" s="2" t="str">
        <f t="shared" si="1"/>
        <v>EXECUTE [dbo].[PG_CI_ARCUSFIL_PROGRAM]  0, 0, 'U3P','U364 MCY PREMIUM',17</v>
      </c>
      <c r="I92" s="3"/>
      <c r="J92" s="3"/>
    </row>
    <row r="93" spans="1:10" x14ac:dyDescent="0.2">
      <c r="A93">
        <v>88</v>
      </c>
      <c r="B93" s="1">
        <v>17</v>
      </c>
      <c r="C93" s="1" t="s">
        <v>136</v>
      </c>
      <c r="D93" s="1" t="s">
        <v>139</v>
      </c>
      <c r="E93" t="s">
        <v>140</v>
      </c>
      <c r="F93" s="1">
        <v>17</v>
      </c>
      <c r="G93" s="2" t="s">
        <v>323</v>
      </c>
      <c r="H93" s="2" t="str">
        <f t="shared" si="1"/>
        <v>EXECUTE [dbo].[PG_CI_ARCUSFIL_PROGRAM]  0, 0, 'U55','2019 U553 EXPEDITION',17</v>
      </c>
      <c r="I93" s="3"/>
      <c r="J93" s="3"/>
    </row>
    <row r="94" spans="1:10" x14ac:dyDescent="0.2">
      <c r="A94">
        <v>89</v>
      </c>
      <c r="B94" s="1">
        <v>17</v>
      </c>
      <c r="C94" s="1" t="s">
        <v>136</v>
      </c>
      <c r="D94" s="1" t="s">
        <v>137</v>
      </c>
      <c r="E94" t="s">
        <v>138</v>
      </c>
      <c r="F94" s="1">
        <v>17</v>
      </c>
      <c r="G94" s="2" t="s">
        <v>323</v>
      </c>
      <c r="H94" s="2" t="str">
        <f t="shared" si="1"/>
        <v>EXECUTE [dbo].[PG_CI_ARCUSFIL_PROGRAM]  0, 0, 'U77','U377 FORD MONO TONE',17</v>
      </c>
      <c r="I94" s="3"/>
      <c r="J94" s="3"/>
    </row>
    <row r="95" spans="1:10" x14ac:dyDescent="0.2">
      <c r="A95">
        <v>90</v>
      </c>
      <c r="B95" s="1">
        <v>17</v>
      </c>
      <c r="C95" s="1" t="s">
        <v>136</v>
      </c>
      <c r="D95" s="1" t="s">
        <v>134</v>
      </c>
      <c r="E95" t="s">
        <v>135</v>
      </c>
      <c r="F95" s="1">
        <v>17</v>
      </c>
      <c r="G95" s="2" t="s">
        <v>323</v>
      </c>
      <c r="H95" s="2" t="str">
        <f t="shared" si="1"/>
        <v>EXECUTE [dbo].[PG_CI_ARCUSFIL_PROGRAM]  0, 0, 'UMA','U377 MAZDA PREMIUM 2008',17</v>
      </c>
      <c r="I95" s="3"/>
      <c r="J95" s="3"/>
    </row>
    <row r="96" spans="1:10" x14ac:dyDescent="0.2">
      <c r="A96">
        <v>91</v>
      </c>
      <c r="B96" s="1">
        <v>18</v>
      </c>
      <c r="C96" s="1" t="s">
        <v>105</v>
      </c>
      <c r="D96" s="1" t="s">
        <v>132</v>
      </c>
      <c r="E96" t="s">
        <v>133</v>
      </c>
      <c r="F96" s="1">
        <v>18</v>
      </c>
      <c r="G96" s="2" t="s">
        <v>323</v>
      </c>
      <c r="H96" s="2" t="str">
        <f t="shared" si="1"/>
        <v>EXECUTE [dbo].[PG_CI_ARCUSFIL_PROGRAM]  0, 0, 'W7A','2021 WL 74 AL',18</v>
      </c>
      <c r="I96" s="3"/>
      <c r="J96" s="3"/>
    </row>
    <row r="97" spans="1:10" x14ac:dyDescent="0.2">
      <c r="A97">
        <v>92</v>
      </c>
      <c r="B97" s="1">
        <v>18</v>
      </c>
      <c r="C97" s="1" t="s">
        <v>105</v>
      </c>
      <c r="D97" s="1" t="s">
        <v>130</v>
      </c>
      <c r="E97" t="s">
        <v>131</v>
      </c>
      <c r="F97" s="1">
        <v>18</v>
      </c>
      <c r="G97" s="2" t="s">
        <v>323</v>
      </c>
      <c r="H97" s="2" t="str">
        <f t="shared" si="1"/>
        <v>EXECUTE [dbo].[PG_CI_ARCUSFIL_PROGRAM]  0, 0, 'W7B','2021 WL 74 BL',18</v>
      </c>
      <c r="I97" s="3"/>
      <c r="J97" s="3"/>
    </row>
    <row r="98" spans="1:10" x14ac:dyDescent="0.2">
      <c r="A98">
        <v>93</v>
      </c>
      <c r="B98" s="1">
        <v>18</v>
      </c>
      <c r="C98" s="1" t="s">
        <v>105</v>
      </c>
      <c r="D98" s="1" t="s">
        <v>128</v>
      </c>
      <c r="E98" t="s">
        <v>129</v>
      </c>
      <c r="F98" s="1">
        <v>18</v>
      </c>
      <c r="G98" s="2" t="s">
        <v>323</v>
      </c>
      <c r="H98" s="2" t="str">
        <f t="shared" si="1"/>
        <v>EXECUTE [dbo].[PG_CI_ARCUSFIL_PROGRAM]  0, 0, 'W7C','2021 WL 74 CL 8W',18</v>
      </c>
      <c r="I98" s="3"/>
      <c r="J98" s="3"/>
    </row>
    <row r="99" spans="1:10" x14ac:dyDescent="0.2">
      <c r="A99">
        <v>94</v>
      </c>
      <c r="B99" s="1">
        <v>18</v>
      </c>
      <c r="C99" s="1" t="s">
        <v>105</v>
      </c>
      <c r="D99" s="1" t="s">
        <v>126</v>
      </c>
      <c r="E99" t="s">
        <v>127</v>
      </c>
      <c r="F99" s="1">
        <v>18</v>
      </c>
      <c r="G99" s="2" t="s">
        <v>323</v>
      </c>
      <c r="H99" s="2" t="str">
        <f t="shared" si="1"/>
        <v>EXECUTE [dbo].[PG_CI_ARCUSFIL_PROGRAM]  0, 0, 'W7D','2021 WL 74 DL',18</v>
      </c>
      <c r="I99" s="3"/>
      <c r="J99" s="3"/>
    </row>
    <row r="100" spans="1:10" x14ac:dyDescent="0.2">
      <c r="A100">
        <v>95</v>
      </c>
      <c r="B100" s="1">
        <v>18</v>
      </c>
      <c r="C100" s="1" t="s">
        <v>105</v>
      </c>
      <c r="D100" s="1" t="s">
        <v>124</v>
      </c>
      <c r="E100" t="s">
        <v>125</v>
      </c>
      <c r="F100" s="1">
        <v>18</v>
      </c>
      <c r="G100" s="2" t="s">
        <v>323</v>
      </c>
      <c r="H100" s="2" t="str">
        <f t="shared" si="1"/>
        <v>EXECUTE [dbo].[PG_CI_ARCUSFIL_PROGRAM]  0, 0, 'W7E','2021 WL 74 EC',18</v>
      </c>
      <c r="I100" s="3"/>
      <c r="J100" s="3"/>
    </row>
    <row r="101" spans="1:10" x14ac:dyDescent="0.2">
      <c r="A101">
        <v>96</v>
      </c>
      <c r="B101" s="1">
        <v>18</v>
      </c>
      <c r="C101" s="1" t="s">
        <v>105</v>
      </c>
      <c r="D101" s="1" t="s">
        <v>122</v>
      </c>
      <c r="E101" t="s">
        <v>123</v>
      </c>
      <c r="F101" s="1">
        <v>18</v>
      </c>
      <c r="G101" s="2" t="s">
        <v>323</v>
      </c>
      <c r="H101" s="2" t="str">
        <f t="shared" si="1"/>
        <v>EXECUTE [dbo].[PG_CI_ARCUSFIL_PROGRAM]  0, 0, 'W7S','2021 WL 74 SL',18</v>
      </c>
      <c r="I101" s="3"/>
      <c r="J101" s="3"/>
    </row>
    <row r="102" spans="1:10" x14ac:dyDescent="0.2">
      <c r="A102">
        <v>97</v>
      </c>
      <c r="B102" s="1">
        <v>18</v>
      </c>
      <c r="C102" s="1" t="s">
        <v>105</v>
      </c>
      <c r="D102" s="1" t="s">
        <v>120</v>
      </c>
      <c r="E102" t="s">
        <v>121</v>
      </c>
      <c r="F102" s="1">
        <v>18</v>
      </c>
      <c r="G102" s="2" t="s">
        <v>323</v>
      </c>
      <c r="H102" s="2" t="str">
        <f t="shared" si="1"/>
        <v>EXECUTE [dbo].[PG_CI_ARCUSFIL_PROGRAM]  0, 0, 'W7T','2021 WL 74 TL',18</v>
      </c>
      <c r="I102" s="3"/>
      <c r="J102" s="3"/>
    </row>
    <row r="103" spans="1:10" x14ac:dyDescent="0.2">
      <c r="A103">
        <v>98</v>
      </c>
      <c r="B103" s="1">
        <v>18</v>
      </c>
      <c r="C103" s="1" t="s">
        <v>105</v>
      </c>
      <c r="D103" s="1" t="s">
        <v>118</v>
      </c>
      <c r="E103" t="s">
        <v>119</v>
      </c>
      <c r="F103" s="1">
        <v>18</v>
      </c>
      <c r="G103" s="2" t="s">
        <v>323</v>
      </c>
      <c r="H103" s="2" t="str">
        <f t="shared" si="1"/>
        <v>EXECUTE [dbo].[PG_CI_ARCUSFIL_PROGRAM]  0, 0, 'WAL','2021 WL 75 AL 8W LIMITED',18</v>
      </c>
      <c r="I103" s="3"/>
      <c r="J103" s="3"/>
    </row>
    <row r="104" spans="1:10" x14ac:dyDescent="0.2">
      <c r="A104">
        <v>99</v>
      </c>
      <c r="B104" s="1">
        <v>18</v>
      </c>
      <c r="C104" s="1" t="s">
        <v>105</v>
      </c>
      <c r="D104" s="1" t="s">
        <v>116</v>
      </c>
      <c r="E104" t="s">
        <v>117</v>
      </c>
      <c r="F104" s="1">
        <v>18</v>
      </c>
      <c r="G104" s="2" t="s">
        <v>323</v>
      </c>
      <c r="H104" s="2" t="str">
        <f t="shared" si="1"/>
        <v>EXECUTE [dbo].[PG_CI_ARCUSFIL_PROGRAM]  0, 0, 'WC1','2021 WL 75 CL 12 WAY',18</v>
      </c>
      <c r="I104" s="3"/>
      <c r="J104" s="3"/>
    </row>
    <row r="105" spans="1:10" x14ac:dyDescent="0.2">
      <c r="A105">
        <v>100</v>
      </c>
      <c r="B105" s="1">
        <v>18</v>
      </c>
      <c r="C105" s="1" t="s">
        <v>105</v>
      </c>
      <c r="D105" s="1" t="s">
        <v>114</v>
      </c>
      <c r="E105" t="s">
        <v>115</v>
      </c>
      <c r="F105" s="1">
        <v>18</v>
      </c>
      <c r="G105" s="2" t="s">
        <v>323</v>
      </c>
      <c r="H105" s="2" t="str">
        <f t="shared" si="1"/>
        <v>EXECUTE [dbo].[PG_CI_ARCUSFIL_PROGRAM]  0, 0, 'WCL','2021 WL 75 CL 8 WAY',18</v>
      </c>
      <c r="I105" s="3"/>
      <c r="J105" s="3"/>
    </row>
    <row r="106" spans="1:10" x14ac:dyDescent="0.2">
      <c r="A106">
        <v>101</v>
      </c>
      <c r="B106" s="1">
        <v>18</v>
      </c>
      <c r="C106" s="1" t="s">
        <v>105</v>
      </c>
      <c r="D106" s="1" t="s">
        <v>112</v>
      </c>
      <c r="E106" t="s">
        <v>113</v>
      </c>
      <c r="F106" s="1">
        <v>18</v>
      </c>
      <c r="G106" s="2" t="s">
        <v>323</v>
      </c>
      <c r="H106" s="2" t="str">
        <f t="shared" si="1"/>
        <v>EXECUTE [dbo].[PG_CI_ARCUSFIL_PROGRAM]  0, 0, 'WDL','2021 WL 75 DL LIMITED',18</v>
      </c>
      <c r="I106" s="3"/>
      <c r="J106" s="3"/>
    </row>
    <row r="107" spans="1:10" x14ac:dyDescent="0.2">
      <c r="A107">
        <v>102</v>
      </c>
      <c r="B107" s="1">
        <v>18</v>
      </c>
      <c r="C107" s="1" t="s">
        <v>105</v>
      </c>
      <c r="D107" s="1" t="s">
        <v>110</v>
      </c>
      <c r="E107" t="s">
        <v>111</v>
      </c>
      <c r="F107" s="1">
        <v>18</v>
      </c>
      <c r="G107" s="2" t="s">
        <v>323</v>
      </c>
      <c r="H107" s="2" t="str">
        <f t="shared" si="1"/>
        <v>EXECUTE [dbo].[PG_CI_ARCUSFIL_PROGRAM]  0, 0, 'WEC','2021 WL 75 EC SUMMIT',18</v>
      </c>
      <c r="I107" s="3"/>
    </row>
    <row r="108" spans="1:10" x14ac:dyDescent="0.2">
      <c r="A108">
        <v>103</v>
      </c>
      <c r="B108" s="1">
        <v>18</v>
      </c>
      <c r="C108" s="1" t="s">
        <v>105</v>
      </c>
      <c r="D108" s="1" t="s">
        <v>108</v>
      </c>
      <c r="E108" t="s">
        <v>109</v>
      </c>
      <c r="F108" s="1">
        <v>18</v>
      </c>
      <c r="G108" s="2" t="s">
        <v>323</v>
      </c>
      <c r="H108" s="2" t="str">
        <f t="shared" si="1"/>
        <v>EXECUTE [dbo].[PG_CI_ARCUSFIL_PROGRAM]  0, 0, 'WLB','2021 WL 75 BL OVERLAND',18</v>
      </c>
      <c r="I108" s="3"/>
      <c r="J108" s="3"/>
    </row>
    <row r="109" spans="1:10" x14ac:dyDescent="0.2">
      <c r="A109">
        <v>104</v>
      </c>
      <c r="B109" s="1">
        <v>18</v>
      </c>
      <c r="C109" s="1" t="s">
        <v>105</v>
      </c>
      <c r="D109" s="1" t="s">
        <v>106</v>
      </c>
      <c r="E109" t="s">
        <v>107</v>
      </c>
      <c r="F109" s="1">
        <v>18</v>
      </c>
      <c r="G109" s="2" t="s">
        <v>323</v>
      </c>
      <c r="H109" s="2" t="str">
        <f t="shared" si="1"/>
        <v>EXECUTE [dbo].[PG_CI_ARCUSFIL_PROGRAM]  0, 0, 'WLK','2021 WL KL 8W BASE SRT',18</v>
      </c>
      <c r="I109" s="3"/>
    </row>
    <row r="110" spans="1:10" x14ac:dyDescent="0.2">
      <c r="A110">
        <v>105</v>
      </c>
      <c r="B110" s="1">
        <v>18</v>
      </c>
      <c r="C110" s="1" t="s">
        <v>105</v>
      </c>
      <c r="D110" s="1" t="s">
        <v>103</v>
      </c>
      <c r="E110" t="s">
        <v>104</v>
      </c>
      <c r="F110" s="1">
        <v>18</v>
      </c>
      <c r="G110" s="2" t="s">
        <v>323</v>
      </c>
      <c r="H110" s="2" t="str">
        <f t="shared" si="1"/>
        <v>EXECUTE [dbo].[PG_CI_ARCUSFIL_PROGRAM]  0, 0, 'WTL','2021 WL 75 TL 12 WAY',18</v>
      </c>
      <c r="I110" s="3"/>
    </row>
    <row r="111" spans="1:10" x14ac:dyDescent="0.2">
      <c r="A111">
        <v>106</v>
      </c>
      <c r="B111" s="1">
        <v>19</v>
      </c>
      <c r="C111" s="1" t="s">
        <v>24</v>
      </c>
      <c r="D111" s="1">
        <v>387</v>
      </c>
      <c r="E111" t="s">
        <v>102</v>
      </c>
      <c r="F111" s="1">
        <v>19</v>
      </c>
      <c r="G111" s="2" t="s">
        <v>323</v>
      </c>
      <c r="H111" s="2" t="str">
        <f t="shared" si="1"/>
        <v>EXECUTE [dbo].[PG_CI_ARCUSFIL_PROGRAM]  0, 0, '387','U387 FORD PREMIUM',19</v>
      </c>
      <c r="I111" s="3"/>
    </row>
    <row r="112" spans="1:10" x14ac:dyDescent="0.2">
      <c r="A112">
        <v>107</v>
      </c>
      <c r="B112" s="1">
        <v>19</v>
      </c>
      <c r="C112" s="1" t="s">
        <v>24</v>
      </c>
      <c r="D112" s="1" t="s">
        <v>100</v>
      </c>
      <c r="E112" t="s">
        <v>101</v>
      </c>
      <c r="F112" s="1">
        <v>19</v>
      </c>
      <c r="G112" s="2" t="s">
        <v>323</v>
      </c>
      <c r="H112" s="2" t="str">
        <f t="shared" si="1"/>
        <v>EXECUTE [dbo].[PG_CI_ARCUSFIL_PROGRAM]  0, 0, '3SU','GMT 315 SUV',19</v>
      </c>
      <c r="I112" s="3"/>
      <c r="J112" s="2"/>
    </row>
    <row r="113" spans="1:10" x14ac:dyDescent="0.2">
      <c r="A113">
        <v>108</v>
      </c>
      <c r="B113" s="1">
        <v>19</v>
      </c>
      <c r="C113" s="1" t="s">
        <v>24</v>
      </c>
      <c r="D113" s="1" t="s">
        <v>98</v>
      </c>
      <c r="E113" t="s">
        <v>99</v>
      </c>
      <c r="F113" s="1">
        <v>19</v>
      </c>
      <c r="G113" s="2" t="s">
        <v>323</v>
      </c>
      <c r="H113" s="2" t="str">
        <f t="shared" si="1"/>
        <v>EXECUTE [dbo].[PG_CI_ARCUSFIL_PROGRAM]  0, 0, 'FCE','U387 FORD CUTTING EDGE',19</v>
      </c>
      <c r="I113" s="3"/>
    </row>
    <row r="114" spans="1:10" x14ac:dyDescent="0.2">
      <c r="A114">
        <v>109</v>
      </c>
      <c r="B114" s="1">
        <v>19</v>
      </c>
      <c r="C114" s="1" t="s">
        <v>24</v>
      </c>
      <c r="D114" s="1" t="s">
        <v>96</v>
      </c>
      <c r="E114" t="s">
        <v>97</v>
      </c>
      <c r="F114" s="1">
        <v>19</v>
      </c>
      <c r="G114" s="2" t="s">
        <v>323</v>
      </c>
      <c r="H114" s="2" t="str">
        <f t="shared" si="1"/>
        <v>EXECUTE [dbo].[PG_CI_ARCUSFIL_PROGRAM]  0, 0, 'GRE','U387 FORD GREY',19</v>
      </c>
      <c r="I114" s="3"/>
      <c r="J114" s="3"/>
    </row>
    <row r="115" spans="1:10" x14ac:dyDescent="0.2">
      <c r="A115">
        <v>110</v>
      </c>
      <c r="B115" s="1">
        <v>19</v>
      </c>
      <c r="C115" s="1" t="s">
        <v>24</v>
      </c>
      <c r="D115" s="1" t="s">
        <v>94</v>
      </c>
      <c r="E115" t="s">
        <v>95</v>
      </c>
      <c r="F115" s="1">
        <v>19</v>
      </c>
      <c r="G115" s="2" t="s">
        <v>323</v>
      </c>
      <c r="H115" s="2" t="str">
        <f t="shared" si="1"/>
        <v>EXECUTE [dbo].[PG_CI_ARCUSFIL_PROGRAM]  0, 0, 'L88','U388 LINCOLN LIMITED',19</v>
      </c>
      <c r="I115" s="3"/>
      <c r="J115" s="3"/>
    </row>
    <row r="116" spans="1:10" x14ac:dyDescent="0.2">
      <c r="A116">
        <v>111</v>
      </c>
      <c r="B116" s="1">
        <v>19</v>
      </c>
      <c r="C116" s="1" t="s">
        <v>24</v>
      </c>
      <c r="D116" s="1" t="s">
        <v>92</v>
      </c>
      <c r="E116" t="s">
        <v>93</v>
      </c>
      <c r="F116" s="1">
        <v>19</v>
      </c>
      <c r="G116" s="2" t="s">
        <v>323</v>
      </c>
      <c r="H116" s="2" t="str">
        <f t="shared" si="1"/>
        <v>EXECUTE [dbo].[PG_CI_ARCUSFIL_PROGRAM]  0, 0, 'PL2','U387 FORD SEL 2011 PLM',19</v>
      </c>
      <c r="I116" s="3"/>
    </row>
    <row r="117" spans="1:10" x14ac:dyDescent="0.2">
      <c r="A117">
        <v>112</v>
      </c>
      <c r="B117" s="1">
        <v>19</v>
      </c>
      <c r="C117" s="1" t="s">
        <v>24</v>
      </c>
      <c r="D117" s="1" t="s">
        <v>90</v>
      </c>
      <c r="E117" t="s">
        <v>91</v>
      </c>
      <c r="F117" s="1">
        <v>19</v>
      </c>
      <c r="G117" s="2" t="s">
        <v>323</v>
      </c>
      <c r="H117" s="2" t="str">
        <f t="shared" si="1"/>
        <v>EXECUTE [dbo].[PG_CI_ARCUSFIL_PROGRAM]  0, 0, 'PL3','U388 LINCOLN BASE 2012',19</v>
      </c>
      <c r="I117" s="3"/>
      <c r="J117" s="3"/>
    </row>
    <row r="118" spans="1:10" x14ac:dyDescent="0.2">
      <c r="A118">
        <v>113</v>
      </c>
      <c r="B118" s="1">
        <v>19</v>
      </c>
      <c r="C118" s="1" t="s">
        <v>24</v>
      </c>
      <c r="D118" s="1" t="s">
        <v>88</v>
      </c>
      <c r="E118" t="s">
        <v>89</v>
      </c>
      <c r="F118" s="1">
        <v>19</v>
      </c>
      <c r="G118" s="2" t="s">
        <v>323</v>
      </c>
      <c r="H118" s="2" t="str">
        <f t="shared" si="1"/>
        <v>EXECUTE [dbo].[PG_CI_ARCUSFIL_PROGRAM]  0, 0, 'PL4','D471 SEL 2012',19</v>
      </c>
      <c r="I118" s="3"/>
      <c r="J118" s="3"/>
    </row>
    <row r="119" spans="1:10" x14ac:dyDescent="0.2">
      <c r="A119">
        <v>114</v>
      </c>
      <c r="B119" s="1">
        <v>19</v>
      </c>
      <c r="C119" s="1" t="s">
        <v>24</v>
      </c>
      <c r="D119" s="1" t="s">
        <v>86</v>
      </c>
      <c r="E119" t="s">
        <v>87</v>
      </c>
      <c r="F119" s="1">
        <v>19</v>
      </c>
      <c r="G119" s="2" t="s">
        <v>323</v>
      </c>
      <c r="H119" s="2" t="str">
        <f t="shared" si="1"/>
        <v>EXECUTE [dbo].[PG_CI_ARCUSFIL_PROGRAM]  0, 0, 'PL5','D471 LTD 2012',19</v>
      </c>
      <c r="I119" s="3"/>
    </row>
    <row r="120" spans="1:10" x14ac:dyDescent="0.2">
      <c r="A120">
        <v>115</v>
      </c>
      <c r="B120" s="1">
        <v>19</v>
      </c>
      <c r="C120" s="1" t="s">
        <v>24</v>
      </c>
      <c r="D120" s="1" t="s">
        <v>84</v>
      </c>
      <c r="E120" t="s">
        <v>85</v>
      </c>
      <c r="F120" s="1">
        <v>19</v>
      </c>
      <c r="G120" s="2" t="s">
        <v>323</v>
      </c>
      <c r="H120" s="2" t="str">
        <f t="shared" si="1"/>
        <v>EXECUTE [dbo].[PG_CI_ARCUSFIL_PROGRAM]  0, 0, 'PL6','U388 LINCOLN ULTIMATE',19</v>
      </c>
      <c r="I120" s="3"/>
    </row>
    <row r="121" spans="1:10" x14ac:dyDescent="0.2">
      <c r="A121">
        <v>116</v>
      </c>
      <c r="B121" s="1">
        <v>19</v>
      </c>
      <c r="C121" s="1" t="s">
        <v>24</v>
      </c>
      <c r="D121" s="1" t="s">
        <v>81</v>
      </c>
      <c r="E121" t="s">
        <v>83</v>
      </c>
      <c r="F121" s="1">
        <v>19</v>
      </c>
      <c r="G121" s="2" t="s">
        <v>323</v>
      </c>
      <c r="H121" s="2" t="str">
        <f t="shared" si="1"/>
        <v>EXECUTE [dbo].[PG_CI_ARCUSFIL_PROGRAM]  0, 0, 'PL7','U387 FORD SEL 2012',19</v>
      </c>
      <c r="I121" s="3"/>
      <c r="J121" s="3"/>
    </row>
    <row r="122" spans="1:10" x14ac:dyDescent="0.2">
      <c r="A122">
        <v>117</v>
      </c>
      <c r="B122" s="1">
        <v>19</v>
      </c>
      <c r="C122" s="1" t="s">
        <v>24</v>
      </c>
      <c r="D122" s="1" t="s">
        <v>81</v>
      </c>
      <c r="E122" t="s">
        <v>82</v>
      </c>
      <c r="F122" s="1">
        <v>19</v>
      </c>
      <c r="G122" s="2" t="s">
        <v>323</v>
      </c>
      <c r="H122" s="2" t="str">
        <f t="shared" si="1"/>
        <v>EXECUTE [dbo].[PG_CI_ARCUSFIL_PROGRAM]  0, 0, 'PL7','U387 FORD SEL 2013',19</v>
      </c>
      <c r="I122" s="3"/>
      <c r="J122" s="3"/>
    </row>
    <row r="123" spans="1:10" x14ac:dyDescent="0.2">
      <c r="A123">
        <v>118</v>
      </c>
      <c r="B123" s="1">
        <v>19</v>
      </c>
      <c r="C123" s="1" t="s">
        <v>24</v>
      </c>
      <c r="D123" s="1" t="s">
        <v>79</v>
      </c>
      <c r="E123" t="s">
        <v>80</v>
      </c>
      <c r="F123" s="1">
        <v>19</v>
      </c>
      <c r="G123" s="2" t="s">
        <v>323</v>
      </c>
      <c r="H123" s="2" t="str">
        <f t="shared" si="1"/>
        <v>EXECUTE [dbo].[PG_CI_ARCUSFIL_PROGRAM]  0, 0, 'PL8','U387 FORD SPORT 2012',19</v>
      </c>
      <c r="I123" s="3"/>
      <c r="J123" s="3"/>
    </row>
    <row r="124" spans="1:10" x14ac:dyDescent="0.2">
      <c r="A124">
        <v>119</v>
      </c>
      <c r="B124" s="1">
        <v>19</v>
      </c>
      <c r="C124" s="1" t="s">
        <v>24</v>
      </c>
      <c r="D124" s="1" t="s">
        <v>77</v>
      </c>
      <c r="E124" t="s">
        <v>78</v>
      </c>
      <c r="F124" s="1">
        <v>19</v>
      </c>
      <c r="G124" s="2" t="s">
        <v>323</v>
      </c>
      <c r="H124" s="2" t="str">
        <f t="shared" si="1"/>
        <v>EXECUTE [dbo].[PG_CI_ARCUSFIL_PROGRAM]  0, 0, 'PL9','U387 FORD SPORT 2011',19</v>
      </c>
      <c r="I124" s="3"/>
      <c r="J124" s="3"/>
    </row>
    <row r="125" spans="1:10" x14ac:dyDescent="0.2">
      <c r="A125">
        <v>120</v>
      </c>
      <c r="B125" s="1">
        <v>19</v>
      </c>
      <c r="C125" s="1" t="s">
        <v>24</v>
      </c>
      <c r="D125" s="1" t="s">
        <v>75</v>
      </c>
      <c r="E125" t="s">
        <v>76</v>
      </c>
      <c r="F125" s="1">
        <v>19</v>
      </c>
      <c r="G125" s="2" t="s">
        <v>323</v>
      </c>
      <c r="H125" s="2" t="str">
        <f t="shared" si="1"/>
        <v>EXECUTE [dbo].[PG_CI_ARCUSFIL_PROGRAM]  0, 0, 'PLB','U388 HEADREST 2012',19</v>
      </c>
      <c r="I125" s="3"/>
      <c r="J125" s="3"/>
    </row>
    <row r="126" spans="1:10" x14ac:dyDescent="0.2">
      <c r="A126">
        <v>121</v>
      </c>
      <c r="B126" s="1">
        <v>19</v>
      </c>
      <c r="C126" s="1" t="s">
        <v>24</v>
      </c>
      <c r="D126" s="1" t="s">
        <v>73</v>
      </c>
      <c r="E126" t="s">
        <v>74</v>
      </c>
      <c r="F126" s="1">
        <v>19</v>
      </c>
      <c r="G126" s="2" t="s">
        <v>323</v>
      </c>
      <c r="H126" s="2" t="str">
        <f t="shared" si="1"/>
        <v>EXECUTE [dbo].[PG_CI_ARCUSFIL_PROGRAM]  0, 0, 'PLC','D471 LTD PLATINIUM',19</v>
      </c>
      <c r="I126" s="3"/>
    </row>
    <row r="127" spans="1:10" x14ac:dyDescent="0.2">
      <c r="A127">
        <v>122</v>
      </c>
      <c r="B127" s="1">
        <v>19</v>
      </c>
      <c r="C127" s="1" t="s">
        <v>24</v>
      </c>
      <c r="D127" s="1" t="s">
        <v>71</v>
      </c>
      <c r="E127" t="s">
        <v>72</v>
      </c>
      <c r="F127" s="1">
        <v>19</v>
      </c>
      <c r="G127" s="2" t="s">
        <v>323</v>
      </c>
      <c r="H127" s="2" t="str">
        <f t="shared" si="1"/>
        <v>EXECUTE [dbo].[PG_CI_ARCUSFIL_PROGRAM]  0, 0, 'PLD','D471 SEL 2013',19</v>
      </c>
      <c r="I127" s="3"/>
      <c r="J127" s="3"/>
    </row>
    <row r="128" spans="1:10" x14ac:dyDescent="0.2">
      <c r="A128">
        <v>123</v>
      </c>
      <c r="B128" s="1">
        <v>19</v>
      </c>
      <c r="C128" s="1" t="s">
        <v>24</v>
      </c>
      <c r="D128" s="1" t="s">
        <v>69</v>
      </c>
      <c r="E128" t="s">
        <v>70</v>
      </c>
      <c r="F128" s="1">
        <v>19</v>
      </c>
      <c r="G128" s="2" t="s">
        <v>323</v>
      </c>
      <c r="H128" s="2" t="str">
        <f t="shared" si="1"/>
        <v>EXECUTE [dbo].[PG_CI_ARCUSFIL_PROGRAM]  0, 0, 'PLE','D471 LTD 2013',19</v>
      </c>
      <c r="I128" s="3"/>
      <c r="J128" s="3"/>
    </row>
    <row r="129" spans="1:10" x14ac:dyDescent="0.2">
      <c r="A129">
        <v>124</v>
      </c>
      <c r="B129" s="1">
        <v>19</v>
      </c>
      <c r="C129" s="1" t="s">
        <v>24</v>
      </c>
      <c r="D129" s="1" t="s">
        <v>67</v>
      </c>
      <c r="E129" t="s">
        <v>68</v>
      </c>
      <c r="F129" s="1">
        <v>19</v>
      </c>
      <c r="G129" s="2" t="s">
        <v>323</v>
      </c>
      <c r="H129" s="2" t="str">
        <f t="shared" si="1"/>
        <v>EXECUTE [dbo].[PG_CI_ARCUSFIL_PROGRAM]  0, 0, 'PLS','D471 2016 SALERNO',19</v>
      </c>
      <c r="I129" s="3"/>
      <c r="J129" s="3"/>
    </row>
    <row r="130" spans="1:10" x14ac:dyDescent="0.2">
      <c r="A130">
        <v>125</v>
      </c>
      <c r="B130" s="1">
        <v>19</v>
      </c>
      <c r="C130" s="1" t="s">
        <v>24</v>
      </c>
      <c r="D130" s="1" t="s">
        <v>65</v>
      </c>
      <c r="E130" t="s">
        <v>66</v>
      </c>
      <c r="F130" s="1">
        <v>19</v>
      </c>
      <c r="G130" s="2" t="s">
        <v>323</v>
      </c>
      <c r="H130" s="2" t="str">
        <f t="shared" si="1"/>
        <v>EXECUTE [dbo].[PG_CI_ARCUSFIL_PROGRAM]  0, 0, 'PVP','U387 FORD VPP',19</v>
      </c>
      <c r="I130" s="3"/>
      <c r="J130" s="3"/>
    </row>
    <row r="131" spans="1:10" x14ac:dyDescent="0.2">
      <c r="A131">
        <v>126</v>
      </c>
      <c r="B131" s="1">
        <v>19</v>
      </c>
      <c r="C131" s="1" t="s">
        <v>24</v>
      </c>
      <c r="D131" s="1" t="s">
        <v>63</v>
      </c>
      <c r="E131" t="s">
        <v>64</v>
      </c>
      <c r="F131" s="1">
        <v>19</v>
      </c>
      <c r="G131" s="2" t="s">
        <v>323</v>
      </c>
      <c r="H131" s="2" t="str">
        <f t="shared" si="1"/>
        <v>EXECUTE [dbo].[PG_CI_ARCUSFIL_PROGRAM]  0, 0, 'RDL','2021 RU DL PINNACLE',19</v>
      </c>
      <c r="I131" s="3"/>
      <c r="J131" s="3"/>
    </row>
    <row r="132" spans="1:10" x14ac:dyDescent="0.2">
      <c r="A132">
        <v>127</v>
      </c>
      <c r="B132" s="1">
        <v>19</v>
      </c>
      <c r="C132" s="1" t="s">
        <v>24</v>
      </c>
      <c r="D132" s="1" t="s">
        <v>61</v>
      </c>
      <c r="E132" t="s">
        <v>62</v>
      </c>
      <c r="F132" s="1">
        <v>19</v>
      </c>
      <c r="G132" s="2" t="s">
        <v>323</v>
      </c>
      <c r="H132" s="2" t="str">
        <f t="shared" si="1"/>
        <v>EXECUTE [dbo].[PG_CI_ARCUSFIL_PROGRAM]  0, 0, 'RUA','2016 RU OPCION AL',19</v>
      </c>
      <c r="I132" s="3"/>
      <c r="J132" s="3"/>
    </row>
    <row r="133" spans="1:10" x14ac:dyDescent="0.2">
      <c r="A133">
        <v>128</v>
      </c>
      <c r="B133" s="1">
        <v>19</v>
      </c>
      <c r="C133" s="1" t="s">
        <v>24</v>
      </c>
      <c r="D133" s="1" t="s">
        <v>59</v>
      </c>
      <c r="E133" t="s">
        <v>60</v>
      </c>
      <c r="F133" s="1">
        <v>19</v>
      </c>
      <c r="G133" s="2" t="s">
        <v>323</v>
      </c>
      <c r="H133" s="2" t="str">
        <f t="shared" si="1"/>
        <v>EXECUTE [dbo].[PG_CI_ARCUSFIL_PROGRAM]  0, 0, 'RUE','2016 RU OPCION EL',19</v>
      </c>
      <c r="I133" s="3"/>
      <c r="J133" s="3"/>
    </row>
    <row r="134" spans="1:10" x14ac:dyDescent="0.2">
      <c r="A134">
        <v>129</v>
      </c>
      <c r="B134" s="1">
        <v>19</v>
      </c>
      <c r="C134" s="1" t="s">
        <v>24</v>
      </c>
      <c r="D134" s="1" t="s">
        <v>57</v>
      </c>
      <c r="E134" t="s">
        <v>58</v>
      </c>
      <c r="F134" s="1">
        <v>19</v>
      </c>
      <c r="G134" s="2" t="s">
        <v>323</v>
      </c>
      <c r="H134" s="2" t="str">
        <f t="shared" si="1"/>
        <v>EXECUTE [dbo].[PG_CI_ARCUSFIL_PROGRAM]  0, 0, 'RUM','2016 RU OPCION ML',19</v>
      </c>
      <c r="I134" s="3"/>
      <c r="J134" s="3"/>
    </row>
    <row r="135" spans="1:10" x14ac:dyDescent="0.2">
      <c r="A135">
        <v>130</v>
      </c>
      <c r="B135" s="1">
        <v>19</v>
      </c>
      <c r="C135" s="1" t="s">
        <v>24</v>
      </c>
      <c r="D135" s="1" t="s">
        <v>55</v>
      </c>
      <c r="E135" t="s">
        <v>56</v>
      </c>
      <c r="F135" s="1">
        <v>19</v>
      </c>
      <c r="G135" s="2" t="s">
        <v>323</v>
      </c>
      <c r="H135" s="2" t="str">
        <f t="shared" ref="H135:H159" si="2">_xlfn.CONCAT(G135,"'",D135,"'",$H$5,"'",TRIM(E135),"'",$H$5,F135)</f>
        <v>EXECUTE [dbo].[PG_CI_ARCUSFIL_PROGRAM]  0, 0, 'SL3','2013 U387 SEL',19</v>
      </c>
      <c r="I135" s="3"/>
      <c r="J135" s="3"/>
    </row>
    <row r="136" spans="1:10" x14ac:dyDescent="0.2">
      <c r="A136">
        <v>131</v>
      </c>
      <c r="B136" s="1">
        <v>19</v>
      </c>
      <c r="C136" s="1" t="s">
        <v>24</v>
      </c>
      <c r="D136" s="1" t="s">
        <v>53</v>
      </c>
      <c r="E136" t="s">
        <v>54</v>
      </c>
      <c r="F136" s="1">
        <v>19</v>
      </c>
      <c r="G136" s="2" t="s">
        <v>323</v>
      </c>
      <c r="H136" s="2" t="str">
        <f t="shared" si="2"/>
        <v>EXECUTE [dbo].[PG_CI_ARCUSFIL_PROGRAM]  0, 0, 'U54','U540 VINYL LAMINATION',19</v>
      </c>
      <c r="I136" s="3"/>
      <c r="J136" s="3"/>
    </row>
    <row r="137" spans="1:10" x14ac:dyDescent="0.2">
      <c r="A137">
        <v>132</v>
      </c>
      <c r="B137" s="1">
        <v>19</v>
      </c>
      <c r="C137" s="1" t="s">
        <v>24</v>
      </c>
      <c r="D137" s="1" t="s">
        <v>51</v>
      </c>
      <c r="E137" t="s">
        <v>52</v>
      </c>
      <c r="F137" s="1">
        <v>19</v>
      </c>
      <c r="G137" s="2" t="s">
        <v>323</v>
      </c>
      <c r="H137" s="2" t="str">
        <f t="shared" si="2"/>
        <v>EXECUTE [dbo].[PG_CI_ARCUSFIL_PROGRAM]  0, 0, 'WBL','2017 WK BL',19</v>
      </c>
      <c r="I137" s="3"/>
    </row>
    <row r="138" spans="1:10" x14ac:dyDescent="0.2">
      <c r="A138">
        <v>133</v>
      </c>
      <c r="B138" s="1">
        <v>19</v>
      </c>
      <c r="C138" s="1" t="s">
        <v>24</v>
      </c>
      <c r="D138" s="1" t="s">
        <v>49</v>
      </c>
      <c r="E138" t="s">
        <v>50</v>
      </c>
      <c r="F138" s="1">
        <v>19</v>
      </c>
      <c r="G138" s="2" t="s">
        <v>323</v>
      </c>
      <c r="H138" s="2" t="str">
        <f t="shared" si="2"/>
        <v>EXECUTE [dbo].[PG_CI_ARCUSFIL_PROGRAM]  0, 0, 'WD2','2017 WD ML DOS TONOS',19</v>
      </c>
      <c r="I138" s="3"/>
      <c r="J138" s="3"/>
    </row>
    <row r="139" spans="1:10" x14ac:dyDescent="0.2">
      <c r="A139">
        <v>134</v>
      </c>
      <c r="B139" s="1">
        <v>19</v>
      </c>
      <c r="C139" s="1" t="s">
        <v>24</v>
      </c>
      <c r="D139" s="1" t="s">
        <v>47</v>
      </c>
      <c r="E139" t="s">
        <v>48</v>
      </c>
      <c r="F139" s="1">
        <v>19</v>
      </c>
      <c r="G139" s="2" t="s">
        <v>323</v>
      </c>
      <c r="H139" s="2" t="str">
        <f t="shared" si="2"/>
        <v>EXECUTE [dbo].[PG_CI_ARCUSFIL_PROGRAM]  0, 0, 'WDM','2017 WD ML',19</v>
      </c>
      <c r="I139" s="3"/>
      <c r="J139" s="3"/>
    </row>
    <row r="140" spans="1:10" x14ac:dyDescent="0.2">
      <c r="A140">
        <v>135</v>
      </c>
      <c r="B140" s="1">
        <v>19</v>
      </c>
      <c r="C140" s="1" t="s">
        <v>24</v>
      </c>
      <c r="D140" s="1" t="s">
        <v>45</v>
      </c>
      <c r="E140" t="s">
        <v>46</v>
      </c>
      <c r="F140" s="1">
        <v>19</v>
      </c>
      <c r="G140" s="2" t="s">
        <v>323</v>
      </c>
      <c r="H140" s="2" t="str">
        <f t="shared" si="2"/>
        <v>EXECUTE [dbo].[PG_CI_ARCUSFIL_PROGRAM]  0, 0, 'WEL','2017 WK-EL RESERVE',19</v>
      </c>
      <c r="I140" s="3"/>
      <c r="J140" s="2"/>
    </row>
    <row r="141" spans="1:10" x14ac:dyDescent="0.2">
      <c r="A141">
        <v>136</v>
      </c>
      <c r="B141" s="1">
        <v>19</v>
      </c>
      <c r="C141" s="1" t="s">
        <v>24</v>
      </c>
      <c r="D141" s="1" t="s">
        <v>43</v>
      </c>
      <c r="E141" t="s">
        <v>44</v>
      </c>
      <c r="F141" s="1">
        <v>19</v>
      </c>
      <c r="G141" s="2" t="s">
        <v>323</v>
      </c>
      <c r="H141" s="2" t="str">
        <f t="shared" si="2"/>
        <v>EXECUTE [dbo].[PG_CI_ARCUSFIL_PROGRAM]  0, 0, 'WKG','2014 WK JEEP GL/DL',19</v>
      </c>
      <c r="I141" s="3"/>
    </row>
    <row r="142" spans="1:10" x14ac:dyDescent="0.2">
      <c r="A142">
        <v>137</v>
      </c>
      <c r="B142" s="1">
        <v>19</v>
      </c>
      <c r="C142" s="1" t="s">
        <v>24</v>
      </c>
      <c r="D142" s="1" t="s">
        <v>41</v>
      </c>
      <c r="E142" t="s">
        <v>42</v>
      </c>
      <c r="F142" s="1">
        <v>19</v>
      </c>
      <c r="G142" s="2" t="s">
        <v>323</v>
      </c>
      <c r="H142" s="2" t="str">
        <f t="shared" si="2"/>
        <v>EXECUTE [dbo].[PG_CI_ARCUSFIL_PROGRAM]  0, 0, 'WKJ','2017 WK CJ',19</v>
      </c>
      <c r="I142" s="3"/>
      <c r="J142" s="3"/>
    </row>
    <row r="143" spans="1:10" x14ac:dyDescent="0.2">
      <c r="A143">
        <v>138</v>
      </c>
      <c r="B143" s="1">
        <v>19</v>
      </c>
      <c r="C143" s="1" t="s">
        <v>24</v>
      </c>
      <c r="D143" s="1" t="s">
        <v>39</v>
      </c>
      <c r="E143" t="s">
        <v>40</v>
      </c>
      <c r="F143" s="1">
        <v>19</v>
      </c>
      <c r="G143" s="2" t="s">
        <v>323</v>
      </c>
      <c r="H143" s="2" t="str">
        <f t="shared" si="2"/>
        <v>EXECUTE [dbo].[PG_CI_ARCUSFIL_PROGRAM]  0, 0, 'WKL','2015 WK KL ALTITUDE II',19</v>
      </c>
      <c r="I143" s="3"/>
      <c r="J143" s="3"/>
    </row>
    <row r="144" spans="1:10" x14ac:dyDescent="0.2">
      <c r="A144">
        <v>139</v>
      </c>
      <c r="B144" s="1">
        <v>19</v>
      </c>
      <c r="C144" s="1" t="s">
        <v>24</v>
      </c>
      <c r="D144" s="1" t="s">
        <v>37</v>
      </c>
      <c r="E144" t="s">
        <v>38</v>
      </c>
      <c r="F144" s="1">
        <v>19</v>
      </c>
      <c r="G144" s="2" t="s">
        <v>323</v>
      </c>
      <c r="H144" s="2" t="str">
        <f t="shared" si="2"/>
        <v>EXECUTE [dbo].[PG_CI_ARCUSFIL_PROGRAM]  0, 0, 'WKT','2014 WK JEEP GL/DL TWO TONES',19</v>
      </c>
      <c r="I144" s="3"/>
      <c r="J144" s="3"/>
    </row>
    <row r="145" spans="1:12" x14ac:dyDescent="0.2">
      <c r="A145">
        <v>140</v>
      </c>
      <c r="B145" s="1">
        <v>19</v>
      </c>
      <c r="C145" s="1" t="s">
        <v>24</v>
      </c>
      <c r="D145" s="1" t="s">
        <v>35</v>
      </c>
      <c r="E145" t="s">
        <v>36</v>
      </c>
      <c r="F145" s="1">
        <v>19</v>
      </c>
      <c r="G145" s="2" t="s">
        <v>323</v>
      </c>
      <c r="H145" s="2" t="str">
        <f t="shared" si="2"/>
        <v>EXECUTE [dbo].[PG_CI_ARCUSFIL_PROGRAM]  0, 0, 'WKU','2014 WK JEEP UL',19</v>
      </c>
      <c r="I145" s="3"/>
      <c r="J145" s="3"/>
    </row>
    <row r="146" spans="1:12" x14ac:dyDescent="0.2">
      <c r="A146">
        <v>141</v>
      </c>
      <c r="B146" s="1">
        <v>19</v>
      </c>
      <c r="C146" s="1" t="s">
        <v>24</v>
      </c>
      <c r="D146" s="1" t="s">
        <v>34</v>
      </c>
      <c r="E146" t="s">
        <v>25</v>
      </c>
      <c r="F146" s="1">
        <v>19</v>
      </c>
      <c r="G146" s="2" t="s">
        <v>323</v>
      </c>
      <c r="H146" s="2" t="str">
        <f t="shared" si="2"/>
        <v>EXECUTE [dbo].[PG_CI_ARCUSFIL_PROGRAM]  0, 0, 'WKY','2018 WK YL',19</v>
      </c>
      <c r="I146" s="3"/>
      <c r="J146" s="2"/>
    </row>
    <row r="147" spans="1:12" x14ac:dyDescent="0.2">
      <c r="A147">
        <v>142</v>
      </c>
      <c r="B147" s="1">
        <v>19</v>
      </c>
      <c r="C147" s="1" t="s">
        <v>24</v>
      </c>
      <c r="D147" s="1" t="s">
        <v>32</v>
      </c>
      <c r="E147" t="s">
        <v>33</v>
      </c>
      <c r="F147" s="1">
        <v>19</v>
      </c>
      <c r="G147" s="2" t="s">
        <v>323</v>
      </c>
      <c r="H147" s="2" t="str">
        <f t="shared" si="2"/>
        <v>EXECUTE [dbo].[PG_CI_ARCUSFIL_PROGRAM]  0, 0, 'WKZ','2014 WK DZ(SRT)',19</v>
      </c>
      <c r="I147" s="3"/>
      <c r="J147" s="3"/>
    </row>
    <row r="148" spans="1:12" x14ac:dyDescent="0.2">
      <c r="A148">
        <v>144</v>
      </c>
      <c r="B148" s="1">
        <v>19</v>
      </c>
      <c r="C148" s="1" t="s">
        <v>24</v>
      </c>
      <c r="D148" s="1" t="s">
        <v>30</v>
      </c>
      <c r="E148" t="s">
        <v>31</v>
      </c>
      <c r="F148" s="1">
        <v>19</v>
      </c>
      <c r="G148" s="2" t="s">
        <v>323</v>
      </c>
      <c r="H148" s="2" t="str">
        <f t="shared" si="2"/>
        <v>EXECUTE [dbo].[PG_CI_ARCUSFIL_PROGRAM]  0, 0, 'WNL','2018 WK NL',19</v>
      </c>
      <c r="I148" s="3"/>
      <c r="J148" s="3"/>
    </row>
    <row r="149" spans="1:12" x14ac:dyDescent="0.2">
      <c r="A149">
        <v>145</v>
      </c>
      <c r="B149" s="1">
        <v>19</v>
      </c>
      <c r="C149" s="1" t="s">
        <v>24</v>
      </c>
      <c r="D149" s="1" t="s">
        <v>28</v>
      </c>
      <c r="E149" t="s">
        <v>29</v>
      </c>
      <c r="F149" s="1">
        <v>19</v>
      </c>
      <c r="G149" s="2" t="s">
        <v>323</v>
      </c>
      <c r="H149" s="2" t="str">
        <f t="shared" si="2"/>
        <v>EXECUTE [dbo].[PG_CI_ARCUSFIL_PROGRAM]  0, 0, 'WPL','2018 WD PL',19</v>
      </c>
      <c r="J149" s="3"/>
    </row>
    <row r="150" spans="1:12" x14ac:dyDescent="0.2">
      <c r="A150">
        <v>146</v>
      </c>
      <c r="B150" s="1">
        <v>19</v>
      </c>
      <c r="C150" s="1" t="s">
        <v>24</v>
      </c>
      <c r="D150" s="1" t="s">
        <v>26</v>
      </c>
      <c r="E150" t="s">
        <v>27</v>
      </c>
      <c r="F150" s="1">
        <v>19</v>
      </c>
      <c r="G150" s="2" t="s">
        <v>323</v>
      </c>
      <c r="H150" s="2" t="str">
        <f t="shared" si="2"/>
        <v>EXECUTE [dbo].[PG_CI_ARCUSFIL_PROGRAM]  0, 0, 'WSL','2019 WS JEEP AL',19</v>
      </c>
      <c r="I150" s="3"/>
      <c r="J150" s="3"/>
    </row>
    <row r="151" spans="1:12" x14ac:dyDescent="0.2">
      <c r="A151">
        <v>147</v>
      </c>
      <c r="B151" s="1">
        <v>19</v>
      </c>
      <c r="C151" s="1" t="s">
        <v>24</v>
      </c>
      <c r="D151" s="1" t="s">
        <v>22</v>
      </c>
      <c r="E151" t="s">
        <v>23</v>
      </c>
      <c r="F151" s="1">
        <v>19</v>
      </c>
      <c r="G151" s="2" t="s">
        <v>323</v>
      </c>
      <c r="H151" s="2" t="str">
        <f t="shared" si="2"/>
        <v>EXECUTE [dbo].[PG_CI_ARCUSFIL_PROGRAM]  0, 0, 'XYZ','WK TEST',19</v>
      </c>
      <c r="I151" s="3"/>
      <c r="J151" s="3"/>
    </row>
    <row r="152" spans="1:12" x14ac:dyDescent="0.2">
      <c r="A152">
        <v>148</v>
      </c>
      <c r="B152" s="1">
        <v>41</v>
      </c>
      <c r="C152" s="1" t="s">
        <v>21</v>
      </c>
      <c r="D152" s="1" t="s">
        <v>19</v>
      </c>
      <c r="E152" t="s">
        <v>20</v>
      </c>
      <c r="F152" s="1">
        <v>41</v>
      </c>
      <c r="G152" s="2" t="s">
        <v>323</v>
      </c>
      <c r="H152" s="2" t="str">
        <f t="shared" si="2"/>
        <v>EXECUTE [dbo].[PG_CI_ARCUSFIL_PROGRAM]  0, 0, 'MYS','U388 HEADREST',41</v>
      </c>
      <c r="I152" s="3"/>
      <c r="J152" s="3"/>
    </row>
    <row r="153" spans="1:12" x14ac:dyDescent="0.2">
      <c r="A153">
        <v>149</v>
      </c>
      <c r="B153" s="1">
        <v>27</v>
      </c>
      <c r="C153" s="1" t="s">
        <v>18</v>
      </c>
      <c r="D153" s="1" t="s">
        <v>16</v>
      </c>
      <c r="E153" t="s">
        <v>17</v>
      </c>
      <c r="F153" s="1">
        <v>27</v>
      </c>
      <c r="G153" s="2" t="s">
        <v>323</v>
      </c>
      <c r="H153" s="2" t="str">
        <f t="shared" si="2"/>
        <v>EXECUTE [dbo].[PG_CI_ARCUSFIL_PROGRAM]  0, 0, 'THE','U228 NAVIGATOR HEADREST',27</v>
      </c>
    </row>
    <row r="154" spans="1:12" x14ac:dyDescent="0.2">
      <c r="A154">
        <v>150</v>
      </c>
      <c r="B154" s="1">
        <v>36</v>
      </c>
      <c r="C154" s="1" t="s">
        <v>15</v>
      </c>
      <c r="D154" s="1" t="s">
        <v>13</v>
      </c>
      <c r="E154" t="s">
        <v>14</v>
      </c>
      <c r="F154" s="1">
        <v>36</v>
      </c>
      <c r="G154" s="2" t="s">
        <v>323</v>
      </c>
      <c r="H154" s="2" t="str">
        <f t="shared" si="2"/>
        <v>EXECUTE [dbo].[PG_CI_ARCUSFIL_PROGRAM]  0, 0, 'RUP','2021 RU PINNACLE',36</v>
      </c>
    </row>
    <row r="155" spans="1:12" x14ac:dyDescent="0.2">
      <c r="A155">
        <v>151</v>
      </c>
      <c r="B155" s="1">
        <v>55</v>
      </c>
      <c r="C155" s="1" t="s">
        <v>12</v>
      </c>
      <c r="D155" s="1" t="s">
        <v>10</v>
      </c>
      <c r="E155" t="s">
        <v>11</v>
      </c>
      <c r="F155" s="1">
        <v>55</v>
      </c>
      <c r="G155" s="2" t="s">
        <v>323</v>
      </c>
      <c r="H155" s="2" t="str">
        <f t="shared" si="2"/>
        <v>EXECUTE [dbo].[PG_CI_ARCUSFIL_PROGRAM]  0, 0, 'WPI','2021 WPI WD CONSOLE LID',55</v>
      </c>
    </row>
    <row r="156" spans="1:12" x14ac:dyDescent="0.2">
      <c r="A156">
        <v>152</v>
      </c>
      <c r="B156" s="1">
        <v>53</v>
      </c>
      <c r="C156" s="1" t="s">
        <v>7</v>
      </c>
      <c r="D156" s="1" t="s">
        <v>8</v>
      </c>
      <c r="E156" t="s">
        <v>9</v>
      </c>
      <c r="F156" s="1">
        <v>53</v>
      </c>
      <c r="G156" s="2" t="s">
        <v>323</v>
      </c>
      <c r="H156" s="2" t="str">
        <f t="shared" si="2"/>
        <v>EXECUTE [dbo].[PG_CI_ARCUSFIL_PROGRAM]  0, 0, 'YWD','WS YANGFENG DOOR PANEL',53</v>
      </c>
    </row>
    <row r="157" spans="1:12" s="4" customFormat="1" x14ac:dyDescent="0.2">
      <c r="A157">
        <v>153</v>
      </c>
      <c r="B157" s="5">
        <v>53</v>
      </c>
      <c r="C157" s="5" t="s">
        <v>7</v>
      </c>
      <c r="D157" s="5" t="s">
        <v>5</v>
      </c>
      <c r="E157" s="4" t="s">
        <v>6</v>
      </c>
      <c r="F157" s="5">
        <v>53</v>
      </c>
      <c r="G157" s="2" t="s">
        <v>323</v>
      </c>
      <c r="H157" s="2" t="str">
        <f t="shared" si="2"/>
        <v>EXECUTE [dbo].[PG_CI_ARCUSFIL_PROGRAM]  0, 0, 'YWS','2021 WS JEEP GRAND WAGONEER',53</v>
      </c>
      <c r="I157" s="6"/>
      <c r="L157" s="5"/>
    </row>
    <row r="158" spans="1:12" x14ac:dyDescent="0.2">
      <c r="A158">
        <v>154</v>
      </c>
      <c r="B158" s="1">
        <v>58</v>
      </c>
      <c r="C158" s="1" t="s">
        <v>2</v>
      </c>
      <c r="D158" s="1" t="s">
        <v>3</v>
      </c>
      <c r="E158" t="s">
        <v>4</v>
      </c>
      <c r="F158" s="1">
        <v>58</v>
      </c>
      <c r="G158" s="2" t="s">
        <v>323</v>
      </c>
      <c r="H158" s="2" t="str">
        <f t="shared" si="2"/>
        <v>EXECUTE [dbo].[PG_CI_ARCUSFIL_PROGRAM]  0, 0, 'YC4','2021 WL 74 JEEP GRAND CHEROKEE',58</v>
      </c>
    </row>
    <row r="159" spans="1:12" x14ac:dyDescent="0.2">
      <c r="A159">
        <v>155</v>
      </c>
      <c r="B159" s="1">
        <v>58</v>
      </c>
      <c r="C159" s="1" t="s">
        <v>2</v>
      </c>
      <c r="D159" s="1" t="s">
        <v>0</v>
      </c>
      <c r="E159" t="s">
        <v>1</v>
      </c>
      <c r="F159" s="1">
        <v>58</v>
      </c>
      <c r="G159" s="2" t="s">
        <v>323</v>
      </c>
      <c r="H159" s="2" t="str">
        <f t="shared" si="2"/>
        <v>EXECUTE [dbo].[PG_CI_ARCUSFIL_PROGRAM]  0, 0, 'YC5','2021 WL 75 JEEP GRAND CHEROKEE',58</v>
      </c>
    </row>
  </sheetData>
  <autoFilter ref="A5:L155" xr:uid="{968F2139-A068-493B-B5E6-50DD84E9522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AE8D7-04FC-41EE-B176-565ABEEA105C}">
  <dimension ref="A2:C52"/>
  <sheetViews>
    <sheetView workbookViewId="0">
      <selection activeCell="E34" sqref="E34"/>
    </sheetView>
  </sheetViews>
  <sheetFormatPr baseColWidth="10" defaultRowHeight="12.75" x14ac:dyDescent="0.2"/>
  <cols>
    <col min="2" max="3" width="18.7109375" customWidth="1"/>
  </cols>
  <sheetData>
    <row r="2" spans="1:3" x14ac:dyDescent="0.2">
      <c r="A2" t="s">
        <v>311</v>
      </c>
      <c r="B2" t="s">
        <v>349</v>
      </c>
      <c r="C2" t="s">
        <v>350</v>
      </c>
    </row>
    <row r="3" spans="1:3" x14ac:dyDescent="0.2">
      <c r="A3">
        <v>46</v>
      </c>
      <c r="B3" s="1" t="s">
        <v>307</v>
      </c>
      <c r="C3" t="s">
        <v>324</v>
      </c>
    </row>
    <row r="4" spans="1:3" x14ac:dyDescent="0.2">
      <c r="A4">
        <v>1</v>
      </c>
      <c r="B4" s="1" t="s">
        <v>304</v>
      </c>
      <c r="C4" t="s">
        <v>325</v>
      </c>
    </row>
    <row r="5" spans="1:3" x14ac:dyDescent="0.2">
      <c r="A5">
        <v>56</v>
      </c>
      <c r="B5" s="1" t="s">
        <v>301</v>
      </c>
      <c r="C5" t="s">
        <v>326</v>
      </c>
    </row>
    <row r="6" spans="1:3" x14ac:dyDescent="0.2">
      <c r="A6">
        <v>57</v>
      </c>
      <c r="B6" s="1" t="s">
        <v>298</v>
      </c>
      <c r="C6" t="s">
        <v>324</v>
      </c>
    </row>
    <row r="7" spans="1:3" x14ac:dyDescent="0.2">
      <c r="A7">
        <v>51</v>
      </c>
      <c r="B7" s="1" t="s">
        <v>283</v>
      </c>
      <c r="C7" t="s">
        <v>327</v>
      </c>
    </row>
    <row r="8" spans="1:3" x14ac:dyDescent="0.2">
      <c r="A8">
        <v>5</v>
      </c>
      <c r="B8" s="1" t="s">
        <v>280</v>
      </c>
      <c r="C8" t="s">
        <v>328</v>
      </c>
    </row>
    <row r="9" spans="1:3" x14ac:dyDescent="0.2">
      <c r="A9">
        <v>40</v>
      </c>
      <c r="B9" s="1" t="s">
        <v>277</v>
      </c>
      <c r="C9" t="s">
        <v>329</v>
      </c>
    </row>
    <row r="10" spans="1:3" x14ac:dyDescent="0.2">
      <c r="A10">
        <v>54</v>
      </c>
      <c r="B10" s="1" t="s">
        <v>273</v>
      </c>
      <c r="C10" t="s">
        <v>324</v>
      </c>
    </row>
    <row r="11" spans="1:3" x14ac:dyDescent="0.2">
      <c r="A11">
        <v>54</v>
      </c>
      <c r="B11" s="1" t="s">
        <v>273</v>
      </c>
      <c r="C11" t="s">
        <v>327</v>
      </c>
    </row>
    <row r="12" spans="1:3" x14ac:dyDescent="0.2">
      <c r="A12">
        <v>7</v>
      </c>
      <c r="B12" s="1" t="s">
        <v>235</v>
      </c>
      <c r="C12" t="s">
        <v>330</v>
      </c>
    </row>
    <row r="13" spans="1:3" x14ac:dyDescent="0.2">
      <c r="A13">
        <v>7</v>
      </c>
      <c r="B13" s="1" t="s">
        <v>235</v>
      </c>
      <c r="C13" t="s">
        <v>332</v>
      </c>
    </row>
    <row r="14" spans="1:3" x14ac:dyDescent="0.2">
      <c r="A14">
        <v>7</v>
      </c>
      <c r="B14" s="1" t="s">
        <v>235</v>
      </c>
      <c r="C14" t="s">
        <v>353</v>
      </c>
    </row>
    <row r="15" spans="1:3" x14ac:dyDescent="0.2">
      <c r="A15">
        <v>7</v>
      </c>
      <c r="B15" s="1" t="s">
        <v>235</v>
      </c>
      <c r="C15" t="s">
        <v>331</v>
      </c>
    </row>
    <row r="16" spans="1:3" x14ac:dyDescent="0.2">
      <c r="A16">
        <v>7</v>
      </c>
      <c r="B16" s="1" t="s">
        <v>235</v>
      </c>
      <c r="C16" t="s">
        <v>329</v>
      </c>
    </row>
    <row r="17" spans="1:3" x14ac:dyDescent="0.2">
      <c r="A17">
        <v>7</v>
      </c>
      <c r="B17" s="1" t="s">
        <v>235</v>
      </c>
      <c r="C17" t="s">
        <v>333</v>
      </c>
    </row>
    <row r="18" spans="1:3" x14ac:dyDescent="0.2">
      <c r="A18">
        <v>7</v>
      </c>
      <c r="B18" s="1" t="s">
        <v>235</v>
      </c>
      <c r="C18" t="s">
        <v>324</v>
      </c>
    </row>
    <row r="19" spans="1:3" x14ac:dyDescent="0.2">
      <c r="A19">
        <v>34</v>
      </c>
      <c r="B19" s="1" t="s">
        <v>226</v>
      </c>
      <c r="C19" t="s">
        <v>330</v>
      </c>
    </row>
    <row r="20" spans="1:3" x14ac:dyDescent="0.2">
      <c r="A20">
        <v>32</v>
      </c>
      <c r="B20" s="1" t="s">
        <v>223</v>
      </c>
      <c r="C20" t="s">
        <v>329</v>
      </c>
    </row>
    <row r="21" spans="1:3" x14ac:dyDescent="0.2">
      <c r="A21">
        <v>9</v>
      </c>
      <c r="B21" s="1" t="s">
        <v>217</v>
      </c>
      <c r="C21" t="s">
        <v>335</v>
      </c>
    </row>
    <row r="22" spans="1:3" x14ac:dyDescent="0.2">
      <c r="A22">
        <v>9</v>
      </c>
      <c r="B22" s="1" t="s">
        <v>217</v>
      </c>
      <c r="C22" t="s">
        <v>334</v>
      </c>
    </row>
    <row r="23" spans="1:3" x14ac:dyDescent="0.2">
      <c r="A23">
        <v>37</v>
      </c>
      <c r="B23" s="1" t="s">
        <v>202</v>
      </c>
      <c r="C23" t="s">
        <v>335</v>
      </c>
    </row>
    <row r="24" spans="1:3" x14ac:dyDescent="0.2">
      <c r="A24">
        <v>37</v>
      </c>
      <c r="B24" s="1" t="s">
        <v>202</v>
      </c>
      <c r="C24" t="s">
        <v>336</v>
      </c>
    </row>
    <row r="25" spans="1:3" x14ac:dyDescent="0.2">
      <c r="A25">
        <v>37</v>
      </c>
      <c r="B25" s="1" t="s">
        <v>202</v>
      </c>
      <c r="C25" t="s">
        <v>337</v>
      </c>
    </row>
    <row r="26" spans="1:3" x14ac:dyDescent="0.2">
      <c r="A26">
        <v>38</v>
      </c>
      <c r="B26" s="1" t="s">
        <v>197</v>
      </c>
      <c r="C26" t="s">
        <v>335</v>
      </c>
    </row>
    <row r="27" spans="1:3" x14ac:dyDescent="0.2">
      <c r="A27">
        <v>39</v>
      </c>
      <c r="B27" s="1" t="s">
        <v>194</v>
      </c>
      <c r="C27" t="s">
        <v>329</v>
      </c>
    </row>
    <row r="28" spans="1:3" x14ac:dyDescent="0.2">
      <c r="A28">
        <v>13</v>
      </c>
      <c r="B28" s="1" t="s">
        <v>175</v>
      </c>
      <c r="C28" t="s">
        <v>340</v>
      </c>
    </row>
    <row r="29" spans="1:3" x14ac:dyDescent="0.2">
      <c r="A29">
        <v>13</v>
      </c>
      <c r="B29" s="1" t="s">
        <v>175</v>
      </c>
      <c r="C29" t="s">
        <v>338</v>
      </c>
    </row>
    <row r="30" spans="1:3" x14ac:dyDescent="0.2">
      <c r="A30">
        <v>13</v>
      </c>
      <c r="B30" s="1" t="s">
        <v>175</v>
      </c>
      <c r="C30" t="s">
        <v>339</v>
      </c>
    </row>
    <row r="31" spans="1:3" x14ac:dyDescent="0.2">
      <c r="A31">
        <v>17</v>
      </c>
      <c r="B31" s="1" t="s">
        <v>136</v>
      </c>
      <c r="C31" t="s">
        <v>341</v>
      </c>
    </row>
    <row r="32" spans="1:3" x14ac:dyDescent="0.2">
      <c r="A32">
        <v>17</v>
      </c>
      <c r="B32" s="1" t="s">
        <v>136</v>
      </c>
      <c r="C32" t="s">
        <v>343</v>
      </c>
    </row>
    <row r="33" spans="1:3" x14ac:dyDescent="0.2">
      <c r="A33">
        <v>17</v>
      </c>
      <c r="B33" s="1" t="s">
        <v>136</v>
      </c>
      <c r="C33" t="s">
        <v>328</v>
      </c>
    </row>
    <row r="34" spans="1:3" x14ac:dyDescent="0.2">
      <c r="A34">
        <v>17</v>
      </c>
      <c r="B34" s="1" t="s">
        <v>136</v>
      </c>
      <c r="C34" t="s">
        <v>325</v>
      </c>
    </row>
    <row r="35" spans="1:3" x14ac:dyDescent="0.2">
      <c r="A35">
        <v>17</v>
      </c>
      <c r="B35" s="1" t="s">
        <v>136</v>
      </c>
      <c r="C35" t="s">
        <v>344</v>
      </c>
    </row>
    <row r="36" spans="1:3" x14ac:dyDescent="0.2">
      <c r="A36">
        <v>17</v>
      </c>
      <c r="B36" s="1" t="s">
        <v>136</v>
      </c>
      <c r="C36" t="s">
        <v>342</v>
      </c>
    </row>
    <row r="37" spans="1:3" x14ac:dyDescent="0.2">
      <c r="A37">
        <v>18</v>
      </c>
      <c r="B37" s="1" t="s">
        <v>105</v>
      </c>
      <c r="C37" t="s">
        <v>324</v>
      </c>
    </row>
    <row r="38" spans="1:3" x14ac:dyDescent="0.2">
      <c r="A38">
        <v>19</v>
      </c>
      <c r="B38" s="1" t="s">
        <v>24</v>
      </c>
      <c r="C38" t="s">
        <v>345</v>
      </c>
    </row>
    <row r="39" spans="1:3" x14ac:dyDescent="0.2">
      <c r="A39">
        <v>19</v>
      </c>
      <c r="B39" s="1" t="s">
        <v>24</v>
      </c>
      <c r="C39" t="s">
        <v>330</v>
      </c>
    </row>
    <row r="40" spans="1:3" x14ac:dyDescent="0.2">
      <c r="A40">
        <v>19</v>
      </c>
      <c r="B40" s="1" t="s">
        <v>24</v>
      </c>
      <c r="C40" t="s">
        <v>346</v>
      </c>
    </row>
    <row r="41" spans="1:3" x14ac:dyDescent="0.2">
      <c r="A41">
        <v>19</v>
      </c>
      <c r="B41" s="1" t="s">
        <v>24</v>
      </c>
      <c r="C41" t="s">
        <v>331</v>
      </c>
    </row>
    <row r="42" spans="1:3" x14ac:dyDescent="0.2">
      <c r="A42">
        <v>19</v>
      </c>
      <c r="B42" s="1" t="s">
        <v>24</v>
      </c>
      <c r="C42" t="s">
        <v>329</v>
      </c>
    </row>
    <row r="43" spans="1:3" x14ac:dyDescent="0.2">
      <c r="A43">
        <v>19</v>
      </c>
      <c r="B43" s="1" t="s">
        <v>24</v>
      </c>
      <c r="C43" t="s">
        <v>347</v>
      </c>
    </row>
    <row r="44" spans="1:3" x14ac:dyDescent="0.2">
      <c r="A44">
        <v>19</v>
      </c>
      <c r="B44" s="1" t="s">
        <v>24</v>
      </c>
      <c r="C44" t="s">
        <v>348</v>
      </c>
    </row>
    <row r="45" spans="1:3" x14ac:dyDescent="0.2">
      <c r="A45">
        <v>19</v>
      </c>
      <c r="B45" s="1" t="s">
        <v>24</v>
      </c>
      <c r="C45" t="s">
        <v>326</v>
      </c>
    </row>
    <row r="46" spans="1:3" x14ac:dyDescent="0.2">
      <c r="A46">
        <v>19</v>
      </c>
      <c r="B46" s="1" t="s">
        <v>24</v>
      </c>
      <c r="C46" t="s">
        <v>327</v>
      </c>
    </row>
    <row r="47" spans="1:3" x14ac:dyDescent="0.2">
      <c r="A47">
        <v>41</v>
      </c>
      <c r="B47" s="1" t="s">
        <v>21</v>
      </c>
      <c r="C47" t="s">
        <v>329</v>
      </c>
    </row>
    <row r="48" spans="1:3" x14ac:dyDescent="0.2">
      <c r="A48">
        <v>27</v>
      </c>
      <c r="B48" s="1" t="s">
        <v>18</v>
      </c>
      <c r="C48" t="s">
        <v>337</v>
      </c>
    </row>
    <row r="49" spans="1:3" x14ac:dyDescent="0.2">
      <c r="A49">
        <v>36</v>
      </c>
      <c r="B49" s="1" t="s">
        <v>15</v>
      </c>
      <c r="C49" t="s">
        <v>346</v>
      </c>
    </row>
    <row r="50" spans="1:3" x14ac:dyDescent="0.2">
      <c r="A50">
        <v>55</v>
      </c>
      <c r="B50" s="1" t="s">
        <v>12</v>
      </c>
      <c r="C50" t="s">
        <v>10</v>
      </c>
    </row>
    <row r="51" spans="1:3" x14ac:dyDescent="0.2">
      <c r="A51">
        <v>53</v>
      </c>
      <c r="B51" s="1" t="s">
        <v>7</v>
      </c>
      <c r="C51" t="s">
        <v>327</v>
      </c>
    </row>
    <row r="52" spans="1:3" x14ac:dyDescent="0.2">
      <c r="A52">
        <v>58</v>
      </c>
      <c r="B52" s="1" t="s">
        <v>2</v>
      </c>
      <c r="C52" t="s">
        <v>324</v>
      </c>
    </row>
  </sheetData>
  <autoFilter ref="A2:C2" xr:uid="{3EF27A36-3C08-4324-A0C7-CDB57D28B6F2}">
    <sortState xmlns:xlrd2="http://schemas.microsoft.com/office/spreadsheetml/2017/richdata2" ref="A3:C52">
      <sortCondition ref="B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AD7C-C8D7-4A50-95D4-AE55B10F7F90}">
  <dimension ref="A2:M157"/>
  <sheetViews>
    <sheetView tabSelected="1" topLeftCell="B101" workbookViewId="0">
      <selection activeCell="M123" sqref="M123"/>
    </sheetView>
  </sheetViews>
  <sheetFormatPr baseColWidth="10" defaultRowHeight="12.75" x14ac:dyDescent="0.2"/>
  <cols>
    <col min="1" max="1" width="16.28515625" style="1" bestFit="1" customWidth="1"/>
    <col min="2" max="2" width="16" style="1" bestFit="1" customWidth="1"/>
    <col min="3" max="3" width="17" style="1" customWidth="1"/>
    <col min="4" max="4" width="15.140625" style="1" bestFit="1" customWidth="1"/>
    <col min="5" max="5" width="15.140625" style="1" customWidth="1"/>
    <col min="6" max="6" width="18.7109375" customWidth="1"/>
    <col min="7" max="7" width="34.140625" bestFit="1" customWidth="1"/>
    <col min="9" max="9" width="5.140625" customWidth="1"/>
    <col min="10" max="10" width="28.140625" customWidth="1"/>
  </cols>
  <sheetData>
    <row r="2" spans="1:13" ht="27.75" customHeight="1" x14ac:dyDescent="0.2">
      <c r="A2" s="1" t="s">
        <v>311</v>
      </c>
      <c r="B2" s="1" t="s">
        <v>349</v>
      </c>
      <c r="C2" s="1" t="s">
        <v>358</v>
      </c>
      <c r="D2" s="1" t="s">
        <v>350</v>
      </c>
      <c r="F2" t="s">
        <v>351</v>
      </c>
      <c r="G2" t="s">
        <v>352</v>
      </c>
      <c r="J2" s="9" t="s">
        <v>357</v>
      </c>
    </row>
    <row r="3" spans="1:13" x14ac:dyDescent="0.2">
      <c r="A3" s="1">
        <v>46</v>
      </c>
      <c r="B3" s="1" t="s">
        <v>307</v>
      </c>
      <c r="C3" s="1" t="s">
        <v>354</v>
      </c>
      <c r="D3" s="1" t="s">
        <v>324</v>
      </c>
      <c r="E3" s="1">
        <v>1</v>
      </c>
      <c r="F3" s="1" t="s">
        <v>305</v>
      </c>
      <c r="G3" t="s">
        <v>306</v>
      </c>
      <c r="I3" s="2" t="s">
        <v>323</v>
      </c>
      <c r="J3" s="2" t="str">
        <f>_xlfn.CONCAT(I3,A3,", '",TRIM(D3),"'")</f>
        <v>EXECUTE [dbo].[PG_CI_ARCUSFIL_PROGRAM]  0, 0, 46, 'WL'</v>
      </c>
      <c r="K3" t="s">
        <v>361</v>
      </c>
      <c r="L3" s="10" t="s">
        <v>362</v>
      </c>
      <c r="M3" s="2" t="str">
        <f>_xlfn.CONCAT(L3,E3,", '",TRIM(F3),"', '",TRIM(G3),"'")</f>
        <v>EXECUTE [dbo].[PG_CI_ARCUSFIL_PROGRAM_MODEL]  0, 0, 1, 'WD7', '2021 WL DL 75 VPD'</v>
      </c>
    </row>
    <row r="4" spans="1:13" x14ac:dyDescent="0.2">
      <c r="A4" s="1">
        <v>1</v>
      </c>
      <c r="B4" s="1" t="s">
        <v>304</v>
      </c>
      <c r="C4" s="1" t="s">
        <v>354</v>
      </c>
      <c r="D4" s="1" t="s">
        <v>325</v>
      </c>
      <c r="E4" s="1">
        <v>2</v>
      </c>
      <c r="F4" s="1" t="s">
        <v>302</v>
      </c>
      <c r="G4" t="s">
        <v>303</v>
      </c>
      <c r="I4" s="2" t="s">
        <v>323</v>
      </c>
      <c r="J4" s="2" t="str">
        <f t="shared" ref="J4:J7" si="0">_xlfn.CONCAT(I4,A4,", '",TRIM(D4),"'")</f>
        <v>EXECUTE [dbo].[PG_CI_ARCUSFIL_PROGRAM]  0, 0, 1, 'U377'</v>
      </c>
      <c r="K4" t="s">
        <v>361</v>
      </c>
      <c r="L4" s="10" t="s">
        <v>362</v>
      </c>
      <c r="M4" s="2" t="str">
        <f t="shared" ref="M4:M67" si="1">_xlfn.CONCAT(L4,E4,", '",TRIM(F4),"', '",TRIM(G4),"'")</f>
        <v>EXECUTE [dbo].[PG_CI_ARCUSFIL_PROGRAM_MODEL]  0, 0, 2, '77H', 'U377 FORD HEADREST'</v>
      </c>
    </row>
    <row r="5" spans="1:13" x14ac:dyDescent="0.2">
      <c r="A5" s="1">
        <v>56</v>
      </c>
      <c r="B5" s="1" t="s">
        <v>301</v>
      </c>
      <c r="C5" s="1" t="s">
        <v>354</v>
      </c>
      <c r="D5" s="1" t="s">
        <v>326</v>
      </c>
      <c r="E5" s="1">
        <v>3</v>
      </c>
      <c r="F5" s="1" t="s">
        <v>299</v>
      </c>
      <c r="G5" t="s">
        <v>300</v>
      </c>
      <c r="I5" s="2" t="s">
        <v>323</v>
      </c>
      <c r="J5" s="2" t="str">
        <f t="shared" si="0"/>
        <v>EXECUTE [dbo].[PG_CI_ARCUSFIL_PROGRAM]  0, 0, 56, 'WK'</v>
      </c>
      <c r="K5" t="s">
        <v>361</v>
      </c>
      <c r="L5" s="10" t="s">
        <v>362</v>
      </c>
      <c r="M5" s="2" t="str">
        <f t="shared" si="1"/>
        <v>EXECUTE [dbo].[PG_CI_ARCUSFIL_PROGRAM_MODEL]  0, 0, 3, 'WDK', '2021 WK WD 2ND ROW ARMREST'</v>
      </c>
    </row>
    <row r="6" spans="1:13" x14ac:dyDescent="0.2">
      <c r="A6" s="1">
        <v>57</v>
      </c>
      <c r="B6" s="1" t="s">
        <v>298</v>
      </c>
      <c r="C6" s="1" t="s">
        <v>354</v>
      </c>
      <c r="D6" s="1" t="s">
        <v>324</v>
      </c>
      <c r="E6" s="1">
        <v>4</v>
      </c>
      <c r="F6" s="1" t="s">
        <v>296</v>
      </c>
      <c r="G6" t="s">
        <v>297</v>
      </c>
      <c r="I6" s="2" t="s">
        <v>323</v>
      </c>
      <c r="J6" s="2" t="str">
        <f t="shared" si="0"/>
        <v>EXECUTE [dbo].[PG_CI_ARCUSFIL_PROGRAM]  0, 0, 57, 'WL'</v>
      </c>
      <c r="K6" t="s">
        <v>361</v>
      </c>
      <c r="L6" s="10" t="s">
        <v>362</v>
      </c>
      <c r="M6" s="2" t="str">
        <f t="shared" si="1"/>
        <v>EXECUTE [dbo].[PG_CI_ARCUSFIL_PROGRAM_MODEL]  0, 0, 4, 'WLE', '2021 WL EISMANN'</v>
      </c>
    </row>
    <row r="7" spans="1:13" x14ac:dyDescent="0.2">
      <c r="A7" s="1">
        <v>51</v>
      </c>
      <c r="B7" s="1" t="s">
        <v>283</v>
      </c>
      <c r="C7" s="1" t="s">
        <v>354</v>
      </c>
      <c r="D7" s="1" t="s">
        <v>327</v>
      </c>
      <c r="E7" s="1">
        <v>5</v>
      </c>
      <c r="F7" s="1" t="s">
        <v>294</v>
      </c>
      <c r="G7" t="s">
        <v>295</v>
      </c>
      <c r="I7" s="2" t="s">
        <v>323</v>
      </c>
      <c r="J7" s="2" t="str">
        <f t="shared" si="0"/>
        <v>EXECUTE [dbo].[PG_CI_ARCUSFIL_PROGRAM]  0, 0, 51, 'WS'</v>
      </c>
      <c r="K7" t="s">
        <v>361</v>
      </c>
      <c r="L7" s="10" t="s">
        <v>362</v>
      </c>
      <c r="M7" s="2" t="str">
        <f t="shared" si="1"/>
        <v>EXECUTE [dbo].[PG_CI_ARCUSFIL_PROGRAM_MODEL]  0, 0, 5, 'C3A', '2021 WS BL-GL EEP 3RD ROW'</v>
      </c>
    </row>
    <row r="8" spans="1:13" x14ac:dyDescent="0.2">
      <c r="A8" s="1">
        <v>51</v>
      </c>
      <c r="B8" s="1" t="s">
        <v>283</v>
      </c>
      <c r="D8" s="1" t="s">
        <v>327</v>
      </c>
      <c r="E8" s="1">
        <v>5</v>
      </c>
      <c r="F8" s="1" t="s">
        <v>292</v>
      </c>
      <c r="G8" t="s">
        <v>293</v>
      </c>
      <c r="I8" s="2"/>
      <c r="J8" s="2"/>
      <c r="K8" t="s">
        <v>361</v>
      </c>
      <c r="L8" s="10" t="s">
        <v>362</v>
      </c>
      <c r="M8" s="2" t="str">
        <f t="shared" si="1"/>
        <v>EXECUTE [dbo].[PG_CI_ARCUSFIL_PROGRAM_MODEL]  0, 0, 5, 'C3B', '2021 WS AL JEEP 3RD ROW'</v>
      </c>
    </row>
    <row r="9" spans="1:13" x14ac:dyDescent="0.2">
      <c r="A9" s="1">
        <v>51</v>
      </c>
      <c r="B9" s="1" t="s">
        <v>283</v>
      </c>
      <c r="D9" s="1" t="s">
        <v>327</v>
      </c>
      <c r="E9" s="1">
        <v>5</v>
      </c>
      <c r="F9" s="1" t="s">
        <v>290</v>
      </c>
      <c r="G9" t="s">
        <v>291</v>
      </c>
      <c r="I9" s="2"/>
      <c r="J9" s="2"/>
      <c r="K9" t="s">
        <v>361</v>
      </c>
      <c r="L9" s="10" t="s">
        <v>362</v>
      </c>
      <c r="M9" s="2" t="str">
        <f t="shared" si="1"/>
        <v>EXECUTE [dbo].[PG_CI_ARCUSFIL_PROGRAM_MODEL]  0, 0, 5, 'FW2', '2021 WS JEEP SL NEVER QUILTED'</v>
      </c>
    </row>
    <row r="10" spans="1:13" x14ac:dyDescent="0.2">
      <c r="A10" s="1">
        <v>51</v>
      </c>
      <c r="B10" s="1" t="s">
        <v>283</v>
      </c>
      <c r="D10" s="1" t="s">
        <v>327</v>
      </c>
      <c r="E10" s="1">
        <v>5</v>
      </c>
      <c r="F10" s="1" t="s">
        <v>288</v>
      </c>
      <c r="G10" t="s">
        <v>289</v>
      </c>
      <c r="I10" s="2"/>
      <c r="J10" s="2"/>
      <c r="K10" t="s">
        <v>361</v>
      </c>
      <c r="L10" s="10" t="s">
        <v>362</v>
      </c>
      <c r="M10" s="2" t="str">
        <f t="shared" si="1"/>
        <v>EXECUTE [dbo].[PG_CI_ARCUSFIL_PROGRAM_MODEL]  0, 0, 5, 'FWS', '2021 WS AL JEEP BASE'</v>
      </c>
    </row>
    <row r="11" spans="1:13" x14ac:dyDescent="0.2">
      <c r="A11" s="1">
        <v>51</v>
      </c>
      <c r="B11" s="1" t="s">
        <v>283</v>
      </c>
      <c r="D11" s="1" t="s">
        <v>327</v>
      </c>
      <c r="E11" s="1">
        <v>5</v>
      </c>
      <c r="F11" s="1" t="s">
        <v>286</v>
      </c>
      <c r="G11" t="s">
        <v>287</v>
      </c>
      <c r="I11" s="2"/>
      <c r="J11" s="2"/>
      <c r="K11" t="s">
        <v>361</v>
      </c>
      <c r="L11" s="10" t="s">
        <v>362</v>
      </c>
      <c r="M11" s="2" t="str">
        <f t="shared" si="1"/>
        <v>EXECUTE [dbo].[PG_CI_ARCUSFIL_PROGRAM_MODEL]  0, 0, 5, 'S3S', '2021 WS SL JEEP 3RD ROW'</v>
      </c>
    </row>
    <row r="12" spans="1:13" x14ac:dyDescent="0.2">
      <c r="A12" s="1">
        <v>51</v>
      </c>
      <c r="B12" s="1" t="s">
        <v>283</v>
      </c>
      <c r="D12" s="1" t="s">
        <v>327</v>
      </c>
      <c r="E12" s="1">
        <v>5</v>
      </c>
      <c r="F12" s="1" t="s">
        <v>284</v>
      </c>
      <c r="G12" t="s">
        <v>285</v>
      </c>
      <c r="I12" s="2"/>
      <c r="J12" s="2"/>
      <c r="K12" t="s">
        <v>361</v>
      </c>
      <c r="L12" s="10" t="s">
        <v>362</v>
      </c>
      <c r="M12" s="2" t="str">
        <f t="shared" si="1"/>
        <v>EXECUTE [dbo].[PG_CI_ARCUSFIL_PROGRAM_MODEL]  0, 0, 5, 'S3U', '2021 WS UL JEEP 3RD ROW'</v>
      </c>
    </row>
    <row r="13" spans="1:13" x14ac:dyDescent="0.2">
      <c r="A13" s="1">
        <v>51</v>
      </c>
      <c r="B13" s="1" t="s">
        <v>283</v>
      </c>
      <c r="D13" s="1" t="s">
        <v>327</v>
      </c>
      <c r="E13" s="1">
        <v>5</v>
      </c>
      <c r="F13" s="1" t="s">
        <v>281</v>
      </c>
      <c r="G13" t="s">
        <v>282</v>
      </c>
      <c r="I13" s="2"/>
      <c r="J13" s="2"/>
      <c r="K13" t="s">
        <v>361</v>
      </c>
      <c r="L13" s="10" t="s">
        <v>362</v>
      </c>
      <c r="M13" s="2" t="str">
        <f t="shared" si="1"/>
        <v>EXECUTE [dbo].[PG_CI_ARCUSFIL_PROGRAM_MODEL]  0, 0, 5, 'WS3', '2021 WS UL ALWAYS QUILTED'</v>
      </c>
    </row>
    <row r="14" spans="1:13" x14ac:dyDescent="0.2">
      <c r="A14" s="1">
        <v>5</v>
      </c>
      <c r="B14" s="1" t="s">
        <v>280</v>
      </c>
      <c r="C14" s="1" t="s">
        <v>354</v>
      </c>
      <c r="D14" s="1" t="s">
        <v>328</v>
      </c>
      <c r="E14" s="1">
        <v>6</v>
      </c>
      <c r="F14" s="1" t="s">
        <v>278</v>
      </c>
      <c r="G14" t="s">
        <v>279</v>
      </c>
      <c r="I14" s="2" t="s">
        <v>323</v>
      </c>
      <c r="J14" s="2" t="str">
        <f t="shared" ref="J14:J16" si="2">_xlfn.CONCAT(I14,A14,", '",TRIM(D14),"'")</f>
        <v>EXECUTE [dbo].[PG_CI_ARCUSFIL_PROGRAM]  0, 0, 5, 'U364'</v>
      </c>
      <c r="K14" t="s">
        <v>361</v>
      </c>
      <c r="L14" s="10" t="s">
        <v>362</v>
      </c>
      <c r="M14" s="2" t="str">
        <f t="shared" si="1"/>
        <v>EXECUTE [dbo].[PG_CI_ARCUSFIL_PROGRAM_MODEL]  0, 0, 6, 'MCY', 'U364 MERCURY LTD FINDALY'</v>
      </c>
    </row>
    <row r="15" spans="1:13" x14ac:dyDescent="0.2">
      <c r="A15" s="1">
        <v>40</v>
      </c>
      <c r="B15" s="1" t="s">
        <v>277</v>
      </c>
      <c r="C15" s="1" t="s">
        <v>354</v>
      </c>
      <c r="D15" s="1" t="s">
        <v>329</v>
      </c>
      <c r="E15" s="1">
        <v>7</v>
      </c>
      <c r="F15" s="1" t="s">
        <v>276</v>
      </c>
      <c r="G15" t="s">
        <v>267</v>
      </c>
      <c r="I15" s="2" t="s">
        <v>323</v>
      </c>
      <c r="J15" s="2" t="str">
        <f t="shared" si="2"/>
        <v>EXECUTE [dbo].[PG_CI_ARCUSFIL_PROGRAM]  0, 0, 40, 'U388'</v>
      </c>
      <c r="K15" t="s">
        <v>361</v>
      </c>
      <c r="L15" s="10" t="s">
        <v>362</v>
      </c>
      <c r="M15" s="2" t="str">
        <f t="shared" si="1"/>
        <v>EXECUTE [dbo].[PG_CI_ARCUSFIL_PROGRAM_MODEL]  0, 0, 7, 'GAR', 'U388 LINCOLN ARMREST'</v>
      </c>
    </row>
    <row r="16" spans="1:13" x14ac:dyDescent="0.2">
      <c r="A16" s="1">
        <v>54</v>
      </c>
      <c r="B16" s="1" t="s">
        <v>273</v>
      </c>
      <c r="C16" s="1" t="s">
        <v>354</v>
      </c>
      <c r="D16" s="1" t="s">
        <v>324</v>
      </c>
      <c r="E16" s="1">
        <v>8</v>
      </c>
      <c r="F16" s="1" t="s">
        <v>313</v>
      </c>
      <c r="G16" t="s">
        <v>317</v>
      </c>
      <c r="I16" s="2" t="s">
        <v>323</v>
      </c>
      <c r="J16" s="2" t="str">
        <f t="shared" si="2"/>
        <v>EXECUTE [dbo].[PG_CI_ARCUSFIL_PROGRAM]  0, 0, 54, 'WL'</v>
      </c>
      <c r="K16" t="s">
        <v>361</v>
      </c>
      <c r="L16" s="10" t="s">
        <v>362</v>
      </c>
      <c r="M16" s="2" t="str">
        <f t="shared" si="1"/>
        <v>EXECUTE [dbo].[PG_CI_ARCUSFIL_PROGRAM_MODEL]  0, 0, 8, 'GR1', '2021 WL 75 QUADS 2ND. ROW ARMR'</v>
      </c>
    </row>
    <row r="17" spans="1:13" x14ac:dyDescent="0.2">
      <c r="A17" s="1">
        <v>54</v>
      </c>
      <c r="B17" s="1" t="s">
        <v>273</v>
      </c>
      <c r="D17" s="1" t="s">
        <v>324</v>
      </c>
      <c r="E17" s="1">
        <v>8</v>
      </c>
      <c r="F17" s="1" t="s">
        <v>315</v>
      </c>
      <c r="G17" t="s">
        <v>319</v>
      </c>
      <c r="I17" s="2"/>
      <c r="J17" s="2"/>
      <c r="K17" t="s">
        <v>361</v>
      </c>
      <c r="L17" s="10" t="s">
        <v>362</v>
      </c>
      <c r="M17" s="2" t="str">
        <f t="shared" si="1"/>
        <v>EXECUTE [dbo].[PG_CI_ARCUSFIL_PROGRAM_MODEL]  0, 0, 8, 'GRM', '2021 WL 74/75 2ND. ROW ARMREST'</v>
      </c>
    </row>
    <row r="18" spans="1:13" x14ac:dyDescent="0.2">
      <c r="A18" s="1">
        <v>54</v>
      </c>
      <c r="B18" s="1" t="s">
        <v>273</v>
      </c>
      <c r="D18" s="1" t="s">
        <v>324</v>
      </c>
      <c r="E18" s="1">
        <v>8</v>
      </c>
      <c r="F18" s="1" t="s">
        <v>274</v>
      </c>
      <c r="G18" t="s">
        <v>275</v>
      </c>
      <c r="I18" s="2"/>
      <c r="J18" s="2"/>
      <c r="K18" t="s">
        <v>361</v>
      </c>
      <c r="L18" s="10" t="s">
        <v>362</v>
      </c>
      <c r="M18" s="2" t="str">
        <f t="shared" si="1"/>
        <v>EXECUTE [dbo].[PG_CI_ARCUSFIL_PROGRAM_MODEL]  0, 0, 8, 'GW2', '2021 WL 75 QUADS 2ND. ROW AR'</v>
      </c>
    </row>
    <row r="19" spans="1:13" x14ac:dyDescent="0.2">
      <c r="A19" s="1">
        <v>54</v>
      </c>
      <c r="B19" s="1" t="s">
        <v>273</v>
      </c>
      <c r="D19" s="1" t="s">
        <v>324</v>
      </c>
      <c r="E19" s="1">
        <v>8</v>
      </c>
      <c r="F19" s="1" t="s">
        <v>271</v>
      </c>
      <c r="G19" t="s">
        <v>272</v>
      </c>
      <c r="I19" s="2"/>
      <c r="J19" s="2"/>
      <c r="K19" t="s">
        <v>361</v>
      </c>
      <c r="L19" s="10" t="s">
        <v>362</v>
      </c>
      <c r="M19" s="2" t="str">
        <f t="shared" si="1"/>
        <v>EXECUTE [dbo].[PG_CI_ARCUSFIL_PROGRAM_MODEL]  0, 0, 8, 'GWL', '2021 WL 74/75 2ND. ROW ARMRE'</v>
      </c>
    </row>
    <row r="20" spans="1:13" x14ac:dyDescent="0.2">
      <c r="A20" s="1">
        <v>54</v>
      </c>
      <c r="B20" s="1" t="s">
        <v>273</v>
      </c>
      <c r="C20" s="1" t="s">
        <v>354</v>
      </c>
      <c r="D20" s="1" t="s">
        <v>327</v>
      </c>
      <c r="E20" s="1">
        <v>9</v>
      </c>
      <c r="F20" s="1" t="s">
        <v>314</v>
      </c>
      <c r="G20" t="s">
        <v>318</v>
      </c>
      <c r="I20" s="2" t="s">
        <v>323</v>
      </c>
      <c r="J20" s="2" t="str">
        <f>_xlfn.CONCAT(I20,A20,", '",TRIM(D20),"'")</f>
        <v>EXECUTE [dbo].[PG_CI_ARCUSFIL_PROGRAM]  0, 0, 54, 'WS'</v>
      </c>
      <c r="K20" t="s">
        <v>361</v>
      </c>
      <c r="L20" s="10" t="s">
        <v>362</v>
      </c>
      <c r="M20" s="2" t="str">
        <f t="shared" si="1"/>
        <v>EXECUTE [dbo].[PG_CI_ARCUSFIL_PROGRAM_MODEL]  0, 0, 9, 'GR2', 'WS FOLDING 2ND-ROW ARM REST'</v>
      </c>
    </row>
    <row r="21" spans="1:13" x14ac:dyDescent="0.2">
      <c r="A21" s="1">
        <v>54</v>
      </c>
      <c r="B21" s="1" t="s">
        <v>273</v>
      </c>
      <c r="D21" s="1" t="s">
        <v>327</v>
      </c>
      <c r="E21" s="1">
        <v>9</v>
      </c>
      <c r="F21" s="1" t="s">
        <v>316</v>
      </c>
      <c r="G21" t="s">
        <v>320</v>
      </c>
      <c r="I21" s="2"/>
      <c r="J21" s="2"/>
      <c r="K21" t="s">
        <v>361</v>
      </c>
      <c r="L21" s="10" t="s">
        <v>362</v>
      </c>
      <c r="M21" s="2" t="str">
        <f t="shared" si="1"/>
        <v>EXECUTE [dbo].[PG_CI_ARCUSFIL_PROGRAM_MODEL]  0, 0, 9, 'GWS', '2021 WS GRAN WAGONNER'</v>
      </c>
    </row>
    <row r="22" spans="1:13" x14ac:dyDescent="0.2">
      <c r="A22" s="1">
        <v>7</v>
      </c>
      <c r="B22" s="1" t="s">
        <v>235</v>
      </c>
      <c r="C22" s="1" t="s">
        <v>354</v>
      </c>
      <c r="D22" s="1" t="s">
        <v>330</v>
      </c>
      <c r="E22" s="1">
        <v>10</v>
      </c>
      <c r="F22" s="1">
        <v>193</v>
      </c>
      <c r="G22" t="s">
        <v>270</v>
      </c>
      <c r="I22" s="2" t="s">
        <v>323</v>
      </c>
      <c r="J22" s="2" t="str">
        <f>_xlfn.CONCAT(I22,A22,", '",TRIM(D22),"'")</f>
        <v>EXECUTE [dbo].[PG_CI_ARCUSFIL_PROGRAM]  0, 0, 7, 'GMT'</v>
      </c>
      <c r="K22" t="s">
        <v>361</v>
      </c>
      <c r="L22" s="10" t="s">
        <v>362</v>
      </c>
      <c r="M22" s="2" t="str">
        <f t="shared" si="1"/>
        <v>EXECUTE [dbo].[PG_CI_ARCUSFIL_PROGRAM_MODEL]  0, 0, 10, '193', 'GMT 193 2007'</v>
      </c>
    </row>
    <row r="23" spans="1:13" x14ac:dyDescent="0.2">
      <c r="A23" s="1">
        <v>7</v>
      </c>
      <c r="B23" s="1" t="s">
        <v>235</v>
      </c>
      <c r="D23" s="1" t="s">
        <v>330</v>
      </c>
      <c r="E23" s="1">
        <v>10</v>
      </c>
      <c r="F23" s="1" t="s">
        <v>262</v>
      </c>
      <c r="G23" t="s">
        <v>263</v>
      </c>
      <c r="I23" s="2"/>
      <c r="J23" s="2"/>
      <c r="K23" t="s">
        <v>361</v>
      </c>
      <c r="L23" s="10" t="s">
        <v>362</v>
      </c>
      <c r="M23" s="2" t="str">
        <f t="shared" si="1"/>
        <v>EXECUTE [dbo].[PG_CI_ARCUSFIL_PROGRAM_MODEL]  0, 0, 10, 'GM1', 'GMT 191 PONTIAC TORRENT'</v>
      </c>
    </row>
    <row r="24" spans="1:13" x14ac:dyDescent="0.2">
      <c r="A24" s="1">
        <v>7</v>
      </c>
      <c r="B24" s="1" t="s">
        <v>235</v>
      </c>
      <c r="D24" s="1" t="s">
        <v>330</v>
      </c>
      <c r="E24" s="1">
        <v>10</v>
      </c>
      <c r="F24" s="1" t="s">
        <v>260</v>
      </c>
      <c r="G24" t="s">
        <v>261</v>
      </c>
      <c r="I24" s="2"/>
      <c r="J24" s="2"/>
      <c r="K24" t="s">
        <v>361</v>
      </c>
      <c r="L24" s="10" t="s">
        <v>362</v>
      </c>
      <c r="M24" s="2" t="str">
        <f t="shared" si="1"/>
        <v>EXECUTE [dbo].[PG_CI_ARCUSFIL_PROGRAM_MODEL]  0, 0, 10, 'GM2', 'GMT 192 PONTIAC PERSUIT'</v>
      </c>
    </row>
    <row r="25" spans="1:13" x14ac:dyDescent="0.2">
      <c r="A25" s="1">
        <v>7</v>
      </c>
      <c r="B25" s="1" t="s">
        <v>235</v>
      </c>
      <c r="D25" s="1" t="s">
        <v>330</v>
      </c>
      <c r="E25" s="1">
        <v>10</v>
      </c>
      <c r="F25" s="1" t="s">
        <v>259</v>
      </c>
      <c r="G25" t="s">
        <v>230</v>
      </c>
      <c r="I25" s="2"/>
      <c r="J25" s="2"/>
      <c r="K25" t="s">
        <v>361</v>
      </c>
      <c r="L25" s="10" t="s">
        <v>362</v>
      </c>
      <c r="M25" s="2" t="str">
        <f t="shared" si="1"/>
        <v>EXECUTE [dbo].[PG_CI_ARCUSFIL_PROGRAM_MODEL]  0, 0, 10, 'GM3', 'ARMREST GMT 193'</v>
      </c>
    </row>
    <row r="26" spans="1:13" x14ac:dyDescent="0.2">
      <c r="A26" s="1">
        <v>7</v>
      </c>
      <c r="B26" s="1" t="s">
        <v>235</v>
      </c>
      <c r="D26" s="1" t="s">
        <v>330</v>
      </c>
      <c r="E26" s="1">
        <v>10</v>
      </c>
      <c r="F26" s="1" t="s">
        <v>258</v>
      </c>
      <c r="G26" t="s">
        <v>225</v>
      </c>
      <c r="I26" s="2"/>
      <c r="J26" s="2"/>
      <c r="K26" t="s">
        <v>361</v>
      </c>
      <c r="L26" s="10" t="s">
        <v>362</v>
      </c>
      <c r="M26" s="2" t="str">
        <f t="shared" si="1"/>
        <v>EXECUTE [dbo].[PG_CI_ARCUSFIL_PROGRAM_MODEL]  0, 0, 10, 'GXP', 'GMT 192 GXP 2008'</v>
      </c>
    </row>
    <row r="27" spans="1:13" x14ac:dyDescent="0.2">
      <c r="A27" s="1">
        <v>7</v>
      </c>
      <c r="B27" s="1" t="s">
        <v>235</v>
      </c>
      <c r="C27" s="1" t="s">
        <v>354</v>
      </c>
      <c r="D27" s="1" t="s">
        <v>332</v>
      </c>
      <c r="E27" s="1">
        <v>11</v>
      </c>
      <c r="F27" s="1" t="s">
        <v>254</v>
      </c>
      <c r="G27" t="s">
        <v>255</v>
      </c>
      <c r="I27" s="2" t="s">
        <v>323</v>
      </c>
      <c r="J27" s="2" t="str">
        <f>_xlfn.CONCAT(I27,A27,", '",TRIM(D27),"'")</f>
        <v>EXECUTE [dbo].[PG_CI_ARCUSFIL_PROGRAM]  0, 0, 7, 'JL'</v>
      </c>
      <c r="K27" t="s">
        <v>361</v>
      </c>
      <c r="L27" s="10" t="s">
        <v>362</v>
      </c>
      <c r="M27" s="2" t="str">
        <f t="shared" si="1"/>
        <v>EXECUTE [dbo].[PG_CI_ARCUSFIL_PROGRAM_MODEL]  0, 0, 11, 'JLI', '2018 JEEP JL'</v>
      </c>
    </row>
    <row r="28" spans="1:13" x14ac:dyDescent="0.2">
      <c r="A28" s="1">
        <v>7</v>
      </c>
      <c r="B28" s="1" t="s">
        <v>235</v>
      </c>
      <c r="D28" s="1" t="s">
        <v>332</v>
      </c>
      <c r="E28" s="1">
        <v>11</v>
      </c>
      <c r="F28" s="1" t="s">
        <v>252</v>
      </c>
      <c r="G28" t="s">
        <v>253</v>
      </c>
      <c r="I28" s="2"/>
      <c r="J28" s="2"/>
      <c r="K28" t="s">
        <v>361</v>
      </c>
      <c r="L28" s="10" t="s">
        <v>362</v>
      </c>
      <c r="M28" s="2" t="str">
        <f t="shared" si="1"/>
        <v>EXECUTE [dbo].[PG_CI_ARCUSFIL_PROGRAM_MODEL]  0, 0, 11, 'JPH', '2020 JEEP JL PHEV'</v>
      </c>
    </row>
    <row r="29" spans="1:13" x14ac:dyDescent="0.2">
      <c r="A29" s="1">
        <v>7</v>
      </c>
      <c r="B29" s="1" t="s">
        <v>235</v>
      </c>
      <c r="D29" s="1" t="s">
        <v>332</v>
      </c>
      <c r="E29" s="1">
        <v>11</v>
      </c>
      <c r="F29" s="1" t="s">
        <v>250</v>
      </c>
      <c r="G29" t="s">
        <v>251</v>
      </c>
      <c r="I29" s="2"/>
      <c r="J29" s="2"/>
      <c r="K29" t="s">
        <v>361</v>
      </c>
      <c r="L29" s="10" t="s">
        <v>362</v>
      </c>
      <c r="M29" s="2" t="str">
        <f t="shared" si="1"/>
        <v>EXECUTE [dbo].[PG_CI_ARCUSFIL_PROGRAM_MODEL]  0, 0, 11, 'JPS', '2021 JEEP JL PHEV SUMMIT'</v>
      </c>
    </row>
    <row r="30" spans="1:13" x14ac:dyDescent="0.2">
      <c r="A30" s="1">
        <v>7</v>
      </c>
      <c r="B30" s="1" t="s">
        <v>235</v>
      </c>
      <c r="D30" s="1" t="s">
        <v>332</v>
      </c>
      <c r="E30" s="1">
        <v>11</v>
      </c>
      <c r="F30" s="1" t="s">
        <v>248</v>
      </c>
      <c r="G30" t="s">
        <v>249</v>
      </c>
      <c r="I30" s="2"/>
      <c r="J30" s="2"/>
      <c r="K30" t="s">
        <v>361</v>
      </c>
      <c r="L30" s="10" t="s">
        <v>362</v>
      </c>
      <c r="M30" s="2" t="str">
        <f t="shared" si="1"/>
        <v>EXECUTE [dbo].[PG_CI_ARCUSFIL_PROGRAM_MODEL]  0, 0, 11, 'JSU', 'JEEPJL SUMMIT'</v>
      </c>
    </row>
    <row r="31" spans="1:13" x14ac:dyDescent="0.2">
      <c r="A31" s="1">
        <v>7</v>
      </c>
      <c r="B31" s="1" t="s">
        <v>235</v>
      </c>
      <c r="C31" s="1" t="s">
        <v>354</v>
      </c>
      <c r="D31" s="1" t="s">
        <v>353</v>
      </c>
      <c r="E31" s="1">
        <v>12</v>
      </c>
      <c r="F31" s="1" t="s">
        <v>256</v>
      </c>
      <c r="G31" t="s">
        <v>257</v>
      </c>
      <c r="I31" s="2" t="s">
        <v>323</v>
      </c>
      <c r="J31" s="2" t="str">
        <f>_xlfn.CONCAT(I31,A31,", '",TRIM(D31),"'")</f>
        <v>EXECUTE [dbo].[PG_CI_ARCUSFIL_PROGRAM]  0, 0, 7, 'JT'</v>
      </c>
      <c r="K31" t="s">
        <v>361</v>
      </c>
      <c r="L31" s="10" t="s">
        <v>362</v>
      </c>
      <c r="M31" s="2" t="str">
        <f t="shared" si="1"/>
        <v>EXECUTE [dbo].[PG_CI_ARCUSFIL_PROGRAM_MODEL]  0, 0, 12, 'JJT', '2019 JEEP JT'</v>
      </c>
    </row>
    <row r="32" spans="1:13" x14ac:dyDescent="0.2">
      <c r="A32" s="1">
        <v>7</v>
      </c>
      <c r="B32" s="1" t="s">
        <v>235</v>
      </c>
      <c r="D32" s="1" t="s">
        <v>353</v>
      </c>
      <c r="E32" s="1">
        <v>12</v>
      </c>
      <c r="F32" s="1" t="s">
        <v>246</v>
      </c>
      <c r="G32" t="s">
        <v>247</v>
      </c>
      <c r="I32" s="2"/>
      <c r="J32" s="2"/>
      <c r="K32" t="s">
        <v>361</v>
      </c>
      <c r="L32" s="10" t="s">
        <v>362</v>
      </c>
      <c r="M32" s="2" t="str">
        <f t="shared" si="1"/>
        <v>EXECUTE [dbo].[PG_CI_ARCUSFIL_PROGRAM_MODEL]  0, 0, 12, 'JTM', '2019 JEEP JT MOJAVE'</v>
      </c>
    </row>
    <row r="33" spans="1:13" x14ac:dyDescent="0.2">
      <c r="A33" s="1">
        <v>7</v>
      </c>
      <c r="B33" s="1" t="s">
        <v>235</v>
      </c>
      <c r="D33" s="1" t="s">
        <v>353</v>
      </c>
      <c r="E33" s="1">
        <v>12</v>
      </c>
      <c r="F33" s="1" t="s">
        <v>244</v>
      </c>
      <c r="G33" t="s">
        <v>245</v>
      </c>
      <c r="I33" s="2"/>
      <c r="J33" s="2"/>
      <c r="K33" t="s">
        <v>361</v>
      </c>
      <c r="L33" s="10" t="s">
        <v>362</v>
      </c>
      <c r="M33" s="2" t="str">
        <f t="shared" si="1"/>
        <v>EXECUTE [dbo].[PG_CI_ARCUSFIL_PROGRAM_MODEL]  0, 0, 12, 'JTS', '2021 JEEP JT SUMMIT'</v>
      </c>
    </row>
    <row r="34" spans="1:13" x14ac:dyDescent="0.2">
      <c r="A34" s="1">
        <v>7</v>
      </c>
      <c r="B34" s="1" t="s">
        <v>235</v>
      </c>
      <c r="C34" s="1" t="s">
        <v>354</v>
      </c>
      <c r="D34" s="1" t="s">
        <v>331</v>
      </c>
      <c r="E34" s="1">
        <v>13</v>
      </c>
      <c r="F34" s="1" t="s">
        <v>269</v>
      </c>
      <c r="G34" t="s">
        <v>99</v>
      </c>
      <c r="I34" s="2" t="s">
        <v>323</v>
      </c>
      <c r="J34" s="2" t="str">
        <f>_xlfn.CONCAT(I34,A34,", '",TRIM(D34),"'")</f>
        <v>EXECUTE [dbo].[PG_CI_ARCUSFIL_PROGRAM]  0, 0, 7, 'U387'</v>
      </c>
      <c r="K34" t="s">
        <v>361</v>
      </c>
      <c r="L34" s="10" t="s">
        <v>362</v>
      </c>
      <c r="M34" s="2" t="str">
        <f t="shared" si="1"/>
        <v>EXECUTE [dbo].[PG_CI_ARCUSFIL_PROGRAM_MODEL]  0, 0, 13, '87C', 'U387 FORD CUTTING EDGE'</v>
      </c>
    </row>
    <row r="35" spans="1:13" x14ac:dyDescent="0.2">
      <c r="A35" s="1">
        <v>7</v>
      </c>
      <c r="B35" s="1" t="s">
        <v>235</v>
      </c>
      <c r="D35" s="1" t="s">
        <v>331</v>
      </c>
      <c r="E35" s="1">
        <v>13</v>
      </c>
      <c r="F35" s="1" t="s">
        <v>268</v>
      </c>
      <c r="G35" t="s">
        <v>102</v>
      </c>
      <c r="I35" s="2"/>
      <c r="J35" s="2"/>
      <c r="K35" t="s">
        <v>361</v>
      </c>
      <c r="L35" s="10" t="s">
        <v>362</v>
      </c>
      <c r="M35" s="2" t="str">
        <f t="shared" si="1"/>
        <v>EXECUTE [dbo].[PG_CI_ARCUSFIL_PROGRAM_MODEL]  0, 0, 13, '87P', 'U387 FORD PREMIUM'</v>
      </c>
    </row>
    <row r="36" spans="1:13" x14ac:dyDescent="0.2">
      <c r="A36" s="1">
        <v>7</v>
      </c>
      <c r="B36" s="1" t="s">
        <v>235</v>
      </c>
      <c r="C36" s="1" t="s">
        <v>354</v>
      </c>
      <c r="D36" s="1" t="s">
        <v>329</v>
      </c>
      <c r="E36" s="1">
        <v>14</v>
      </c>
      <c r="F36" s="1" t="s">
        <v>266</v>
      </c>
      <c r="G36" t="s">
        <v>267</v>
      </c>
      <c r="I36" s="2" t="s">
        <v>323</v>
      </c>
      <c r="J36" s="2" t="str">
        <f>_xlfn.CONCAT(I36,A36,", '",TRIM(D36),"'")</f>
        <v>EXECUTE [dbo].[PG_CI_ARCUSFIL_PROGRAM]  0, 0, 7, 'U388'</v>
      </c>
      <c r="K36" t="s">
        <v>361</v>
      </c>
      <c r="L36" s="10" t="s">
        <v>362</v>
      </c>
      <c r="M36" s="2" t="str">
        <f t="shared" si="1"/>
        <v>EXECUTE [dbo].[PG_CI_ARCUSFIL_PROGRAM_MODEL]  0, 0, 14, '88A', 'U388 LINCOLN ARMREST'</v>
      </c>
    </row>
    <row r="37" spans="1:13" x14ac:dyDescent="0.2">
      <c r="A37" s="1">
        <v>7</v>
      </c>
      <c r="B37" s="1" t="s">
        <v>235</v>
      </c>
      <c r="D37" s="1" t="s">
        <v>329</v>
      </c>
      <c r="E37" s="1">
        <v>14</v>
      </c>
      <c r="F37" s="1" t="s">
        <v>265</v>
      </c>
      <c r="G37" t="s">
        <v>20</v>
      </c>
      <c r="I37" s="2"/>
      <c r="J37" s="2"/>
      <c r="K37" t="s">
        <v>361</v>
      </c>
      <c r="L37" s="10" t="s">
        <v>362</v>
      </c>
      <c r="M37" s="2" t="str">
        <f t="shared" si="1"/>
        <v>EXECUTE [dbo].[PG_CI_ARCUSFIL_PROGRAM_MODEL]  0, 0, 14, '88H', 'U388 HEADREST'</v>
      </c>
    </row>
    <row r="38" spans="1:13" x14ac:dyDescent="0.2">
      <c r="A38" s="1">
        <v>7</v>
      </c>
      <c r="B38" s="1" t="s">
        <v>235</v>
      </c>
      <c r="D38" s="1" t="s">
        <v>329</v>
      </c>
      <c r="E38" s="1">
        <v>14</v>
      </c>
      <c r="F38" s="1" t="s">
        <v>264</v>
      </c>
      <c r="G38" t="s">
        <v>95</v>
      </c>
      <c r="I38" s="2"/>
      <c r="J38" s="2"/>
      <c r="K38" t="s">
        <v>361</v>
      </c>
      <c r="L38" s="10" t="s">
        <v>362</v>
      </c>
      <c r="M38" s="2" t="str">
        <f t="shared" si="1"/>
        <v>EXECUTE [dbo].[PG_CI_ARCUSFIL_PROGRAM_MODEL]  0, 0, 14, '88L', 'U388 LINCOLN LIMITED'</v>
      </c>
    </row>
    <row r="39" spans="1:13" x14ac:dyDescent="0.2">
      <c r="A39" s="1">
        <v>7</v>
      </c>
      <c r="B39" s="1" t="s">
        <v>235</v>
      </c>
      <c r="C39" s="1" t="s">
        <v>354</v>
      </c>
      <c r="D39" s="1" t="s">
        <v>333</v>
      </c>
      <c r="E39" s="1">
        <v>15</v>
      </c>
      <c r="F39" s="1" t="s">
        <v>242</v>
      </c>
      <c r="G39" t="s">
        <v>243</v>
      </c>
      <c r="I39" s="2" t="s">
        <v>323</v>
      </c>
      <c r="J39" s="2" t="str">
        <f>_xlfn.CONCAT(I39,A39,", '",TRIM(D39),"'")</f>
        <v>EXECUTE [dbo].[PG_CI_ARCUSFIL_PROGRAM]  0, 0, 7, 'V229'</v>
      </c>
      <c r="K39" t="s">
        <v>361</v>
      </c>
      <c r="L39" s="10" t="s">
        <v>362</v>
      </c>
      <c r="M39" s="2" t="str">
        <f t="shared" si="1"/>
        <v>EXECUTE [dbo].[PG_CI_ARCUSFIL_PROGRAM_MODEL]  0, 0, 15, 'VFL', 'V229 FORD FREESTAR LTD'</v>
      </c>
    </row>
    <row r="40" spans="1:13" x14ac:dyDescent="0.2">
      <c r="A40" s="1">
        <v>7</v>
      </c>
      <c r="B40" s="1" t="s">
        <v>235</v>
      </c>
      <c r="D40" s="1" t="s">
        <v>333</v>
      </c>
      <c r="E40" s="1">
        <v>15</v>
      </c>
      <c r="F40" s="1" t="s">
        <v>240</v>
      </c>
      <c r="G40" t="s">
        <v>241</v>
      </c>
      <c r="I40" s="2"/>
      <c r="J40" s="2"/>
      <c r="K40" t="s">
        <v>361</v>
      </c>
      <c r="L40" s="10" t="s">
        <v>362</v>
      </c>
      <c r="M40" s="2" t="str">
        <f t="shared" si="1"/>
        <v>EXECUTE [dbo].[PG_CI_ARCUSFIL_PROGRAM_MODEL]  0, 0, 15, 'VML', 'V229 FREESTAR MERCURY LTD'</v>
      </c>
    </row>
    <row r="41" spans="1:13" x14ac:dyDescent="0.2">
      <c r="A41" s="1">
        <v>7</v>
      </c>
      <c r="B41" s="1" t="s">
        <v>235</v>
      </c>
      <c r="D41" s="1" t="s">
        <v>333</v>
      </c>
      <c r="E41" s="1">
        <v>15</v>
      </c>
      <c r="F41" s="1" t="s">
        <v>238</v>
      </c>
      <c r="G41" t="s">
        <v>239</v>
      </c>
      <c r="I41" s="2"/>
      <c r="J41" s="2"/>
      <c r="K41" t="s">
        <v>361</v>
      </c>
      <c r="L41" s="10" t="s">
        <v>362</v>
      </c>
      <c r="M41" s="2" t="str">
        <f t="shared" si="1"/>
        <v>EXECUTE [dbo].[PG_CI_ARCUSFIL_PROGRAM_MODEL]  0, 0, 15, 'VMP', 'V229 FREESTAR MPA'</v>
      </c>
    </row>
    <row r="42" spans="1:13" x14ac:dyDescent="0.2">
      <c r="A42" s="1">
        <v>7</v>
      </c>
      <c r="B42" s="1" t="s">
        <v>235</v>
      </c>
      <c r="D42" s="1" t="s">
        <v>333</v>
      </c>
      <c r="E42" s="1">
        <v>15</v>
      </c>
      <c r="F42" s="1" t="s">
        <v>236</v>
      </c>
      <c r="G42" t="s">
        <v>237</v>
      </c>
      <c r="I42" s="2"/>
      <c r="J42" s="2"/>
      <c r="K42" t="s">
        <v>361</v>
      </c>
      <c r="L42" s="10" t="s">
        <v>362</v>
      </c>
      <c r="M42" s="2" t="str">
        <f t="shared" si="1"/>
        <v>EXECUTE [dbo].[PG_CI_ARCUSFIL_PROGRAM_MODEL]  0, 0, 15, 'VMX', 'V229 FREESTAR MXA'</v>
      </c>
    </row>
    <row r="43" spans="1:13" x14ac:dyDescent="0.2">
      <c r="A43" s="1">
        <v>7</v>
      </c>
      <c r="B43" s="1" t="s">
        <v>235</v>
      </c>
      <c r="C43" s="1" t="s">
        <v>354</v>
      </c>
      <c r="D43" s="1" t="s">
        <v>324</v>
      </c>
      <c r="E43" s="1">
        <v>16</v>
      </c>
      <c r="F43" s="1" t="s">
        <v>233</v>
      </c>
      <c r="G43" t="s">
        <v>234</v>
      </c>
      <c r="I43" s="2" t="s">
        <v>323</v>
      </c>
      <c r="J43" s="2" t="str">
        <f t="shared" ref="J43:J44" si="3">_xlfn.CONCAT(I43,A43,", '",TRIM(D43),"'")</f>
        <v>EXECUTE [dbo].[PG_CI_ARCUSFIL_PROGRAM]  0, 0, 7, 'WL'</v>
      </c>
      <c r="K43" t="s">
        <v>361</v>
      </c>
      <c r="L43" s="10" t="s">
        <v>362</v>
      </c>
      <c r="M43" s="2" t="str">
        <f t="shared" si="1"/>
        <v>EXECUTE [dbo].[PG_CI_ARCUSFIL_PROGRAM_MODEL]  0, 0, 16, 'WLS', 'WLS JEEP 2020'</v>
      </c>
    </row>
    <row r="44" spans="1:13" x14ac:dyDescent="0.2">
      <c r="A44" s="1">
        <v>34</v>
      </c>
      <c r="B44" s="1" t="s">
        <v>226</v>
      </c>
      <c r="C44" s="1" t="s">
        <v>354</v>
      </c>
      <c r="D44" s="1" t="s">
        <v>330</v>
      </c>
      <c r="E44" s="1">
        <v>17</v>
      </c>
      <c r="F44" s="1">
        <v>191</v>
      </c>
      <c r="G44" t="s">
        <v>232</v>
      </c>
      <c r="I44" s="2" t="s">
        <v>323</v>
      </c>
      <c r="J44" s="2" t="str">
        <f t="shared" si="3"/>
        <v>EXECUTE [dbo].[PG_CI_ARCUSFIL_PROGRAM]  0, 0, 34, 'GMT'</v>
      </c>
      <c r="K44" t="s">
        <v>361</v>
      </c>
      <c r="L44" s="10" t="s">
        <v>362</v>
      </c>
      <c r="M44" s="2" t="str">
        <f t="shared" si="1"/>
        <v>EXECUTE [dbo].[PG_CI_ARCUSFIL_PROGRAM_MODEL]  0, 0, 17, '191', 'GMT 191 2008'</v>
      </c>
    </row>
    <row r="45" spans="1:13" x14ac:dyDescent="0.2">
      <c r="A45" s="1">
        <v>34</v>
      </c>
      <c r="B45" s="1" t="s">
        <v>226</v>
      </c>
      <c r="D45" s="1" t="s">
        <v>330</v>
      </c>
      <c r="E45" s="1">
        <v>17</v>
      </c>
      <c r="F45" s="1">
        <v>192</v>
      </c>
      <c r="G45" t="s">
        <v>231</v>
      </c>
      <c r="I45" s="2"/>
      <c r="J45" s="2"/>
      <c r="K45" t="s">
        <v>361</v>
      </c>
      <c r="L45" s="10" t="s">
        <v>362</v>
      </c>
      <c r="M45" s="2" t="str">
        <f t="shared" si="1"/>
        <v>EXECUTE [dbo].[PG_CI_ARCUSFIL_PROGRAM_MODEL]  0, 0, 17, '192', 'GMT 192 2008'</v>
      </c>
    </row>
    <row r="46" spans="1:13" x14ac:dyDescent="0.2">
      <c r="A46" s="1">
        <v>34</v>
      </c>
      <c r="B46" s="1" t="s">
        <v>226</v>
      </c>
      <c r="D46" s="1" t="s">
        <v>330</v>
      </c>
      <c r="E46" s="1">
        <v>17</v>
      </c>
      <c r="F46" s="1" t="s">
        <v>229</v>
      </c>
      <c r="G46" t="s">
        <v>230</v>
      </c>
      <c r="I46" s="2"/>
      <c r="J46" s="2"/>
      <c r="K46" t="s">
        <v>361</v>
      </c>
      <c r="L46" s="10" t="s">
        <v>362</v>
      </c>
      <c r="M46" s="2" t="str">
        <f t="shared" si="1"/>
        <v>EXECUTE [dbo].[PG_CI_ARCUSFIL_PROGRAM_MODEL]  0, 0, 17, 'ARM', 'ARMREST GMT 193'</v>
      </c>
    </row>
    <row r="47" spans="1:13" x14ac:dyDescent="0.2">
      <c r="A47" s="1">
        <v>34</v>
      </c>
      <c r="B47" s="1" t="s">
        <v>226</v>
      </c>
      <c r="D47" s="1" t="s">
        <v>330</v>
      </c>
      <c r="E47" s="1">
        <v>17</v>
      </c>
      <c r="F47" s="1" t="s">
        <v>227</v>
      </c>
      <c r="G47" t="s">
        <v>228</v>
      </c>
      <c r="I47" s="2"/>
      <c r="J47" s="2"/>
      <c r="K47" t="s">
        <v>361</v>
      </c>
      <c r="L47" s="10" t="s">
        <v>362</v>
      </c>
      <c r="M47" s="2" t="str">
        <f t="shared" si="1"/>
        <v>EXECUTE [dbo].[PG_CI_ARCUSFIL_PROGRAM_MODEL]  0, 0, 17, 'G93', 'GMT 193 2008'</v>
      </c>
    </row>
    <row r="48" spans="1:13" x14ac:dyDescent="0.2">
      <c r="A48" s="1">
        <v>34</v>
      </c>
      <c r="B48" s="1" t="s">
        <v>226</v>
      </c>
      <c r="D48" s="1" t="s">
        <v>330</v>
      </c>
      <c r="E48" s="1">
        <v>17</v>
      </c>
      <c r="F48" s="1" t="s">
        <v>224</v>
      </c>
      <c r="G48" t="s">
        <v>225</v>
      </c>
      <c r="I48" s="2"/>
      <c r="J48" s="2"/>
      <c r="K48" t="s">
        <v>361</v>
      </c>
      <c r="L48" s="10" t="s">
        <v>362</v>
      </c>
      <c r="M48" s="2" t="str">
        <f t="shared" si="1"/>
        <v>EXECUTE [dbo].[PG_CI_ARCUSFIL_PROGRAM_MODEL]  0, 0, 17, 'GX2', 'GMT 192 GXP 2008'</v>
      </c>
    </row>
    <row r="49" spans="1:13" x14ac:dyDescent="0.2">
      <c r="A49" s="1">
        <v>32</v>
      </c>
      <c r="B49" s="1" t="s">
        <v>223</v>
      </c>
      <c r="C49" s="1" t="s">
        <v>354</v>
      </c>
      <c r="D49" s="1" t="s">
        <v>329</v>
      </c>
      <c r="E49" s="1">
        <v>18</v>
      </c>
      <c r="F49" s="1" t="s">
        <v>221</v>
      </c>
      <c r="G49" t="s">
        <v>222</v>
      </c>
      <c r="I49" s="2" t="s">
        <v>323</v>
      </c>
      <c r="J49" s="2" t="str">
        <f t="shared" ref="J49:J51" si="4">_xlfn.CONCAT(I49,A49,", '",TRIM(D49),"'")</f>
        <v>EXECUTE [dbo].[PG_CI_ARCUSFIL_PROGRAM]  0, 0, 32, 'U388'</v>
      </c>
      <c r="K49" t="s">
        <v>361</v>
      </c>
      <c r="L49" s="10" t="s">
        <v>362</v>
      </c>
      <c r="M49" s="2" t="str">
        <f t="shared" si="1"/>
        <v>EXECUTE [dbo].[PG_CI_ARCUSFIL_PROGRAM_MODEL]  0, 0, 18, 'PL0', 'U388 CONSOLE'</v>
      </c>
    </row>
    <row r="50" spans="1:13" x14ac:dyDescent="0.2">
      <c r="A50" s="1">
        <v>9</v>
      </c>
      <c r="B50" s="1" t="s">
        <v>217</v>
      </c>
      <c r="C50" s="1" t="s">
        <v>354</v>
      </c>
      <c r="D50" s="1" t="s">
        <v>335</v>
      </c>
      <c r="E50" s="1">
        <v>19</v>
      </c>
      <c r="F50" s="1" t="s">
        <v>218</v>
      </c>
      <c r="G50" t="s">
        <v>219</v>
      </c>
      <c r="I50" s="2" t="s">
        <v>323</v>
      </c>
      <c r="J50" s="2" t="str">
        <f t="shared" si="4"/>
        <v>EXECUTE [dbo].[PG_CI_ARCUSFIL_PROGRAM]  0, 0, 9, 'GM360'</v>
      </c>
      <c r="K50" t="s">
        <v>361</v>
      </c>
      <c r="L50" s="10" t="s">
        <v>362</v>
      </c>
      <c r="M50" s="2" t="str">
        <f t="shared" si="1"/>
        <v>EXECUTE [dbo].[PG_CI_ARCUSFIL_PROGRAM_MODEL]  0, 0, 19, 'CHI', 'GM360 CHEVY / ISUZU /GMC CHINA'</v>
      </c>
    </row>
    <row r="51" spans="1:13" x14ac:dyDescent="0.2">
      <c r="A51" s="1">
        <v>9</v>
      </c>
      <c r="B51" s="1" t="s">
        <v>217</v>
      </c>
      <c r="C51" s="1" t="s">
        <v>354</v>
      </c>
      <c r="D51" s="1" t="s">
        <v>334</v>
      </c>
      <c r="E51" s="1">
        <v>20</v>
      </c>
      <c r="F51" s="1">
        <v>114</v>
      </c>
      <c r="G51" t="s">
        <v>220</v>
      </c>
      <c r="I51" s="2" t="s">
        <v>323</v>
      </c>
      <c r="J51" s="2" t="str">
        <f t="shared" si="4"/>
        <v>EXECUTE [dbo].[PG_CI_ARCUSFIL_PROGRAM]  0, 0, 9, 'JCI'</v>
      </c>
      <c r="K51" t="s">
        <v>361</v>
      </c>
      <c r="L51" s="10" t="s">
        <v>362</v>
      </c>
      <c r="M51" s="2" t="str">
        <f t="shared" si="1"/>
        <v>EXECUTE [dbo].[PG_CI_ARCUSFIL_PROGRAM_MODEL]  0, 0, 20, '114', 'EN114 CONSOLE JCI'</v>
      </c>
    </row>
    <row r="52" spans="1:13" x14ac:dyDescent="0.2">
      <c r="A52" s="1">
        <v>9</v>
      </c>
      <c r="B52" s="1" t="s">
        <v>217</v>
      </c>
      <c r="D52" s="1" t="s">
        <v>334</v>
      </c>
      <c r="E52" s="1">
        <v>20</v>
      </c>
      <c r="F52" s="1" t="s">
        <v>215</v>
      </c>
      <c r="G52" t="s">
        <v>216</v>
      </c>
      <c r="I52" s="2"/>
      <c r="J52" s="2"/>
      <c r="K52" t="s">
        <v>361</v>
      </c>
      <c r="L52" s="10" t="s">
        <v>362</v>
      </c>
      <c r="M52" s="2" t="str">
        <f t="shared" si="1"/>
        <v>EXECUTE [dbo].[PG_CI_ARCUSFIL_PROGRAM_MODEL]  0, 0, 20, 'JCT', 'JCI-TESLA'</v>
      </c>
    </row>
    <row r="53" spans="1:13" x14ac:dyDescent="0.2">
      <c r="A53" s="1">
        <v>37</v>
      </c>
      <c r="B53" s="1" t="s">
        <v>202</v>
      </c>
      <c r="C53" s="1" t="s">
        <v>354</v>
      </c>
      <c r="D53" s="1" t="s">
        <v>335</v>
      </c>
      <c r="E53" s="1">
        <v>21</v>
      </c>
      <c r="F53" s="1" t="s">
        <v>211</v>
      </c>
      <c r="G53" t="s">
        <v>212</v>
      </c>
      <c r="I53" s="2" t="s">
        <v>323</v>
      </c>
      <c r="J53" s="2" t="str">
        <f>_xlfn.CONCAT(I53,A53,", '",TRIM(D53),"'")</f>
        <v>EXECUTE [dbo].[PG_CI_ARCUSFIL_PROGRAM]  0, 0, 37, 'GM360'</v>
      </c>
      <c r="K53" t="s">
        <v>361</v>
      </c>
      <c r="L53" s="10" t="s">
        <v>362</v>
      </c>
      <c r="M53" s="2" t="str">
        <f t="shared" si="1"/>
        <v>EXECUTE [dbo].[PG_CI_ARCUSFIL_PROGRAM_MODEL]  0, 0, 21, 'BUI', 'GM 360 BUICK'</v>
      </c>
    </row>
    <row r="54" spans="1:13" x14ac:dyDescent="0.2">
      <c r="A54" s="1">
        <v>37</v>
      </c>
      <c r="B54" s="1" t="s">
        <v>202</v>
      </c>
      <c r="D54" s="1" t="s">
        <v>335</v>
      </c>
      <c r="E54" s="1">
        <v>21</v>
      </c>
      <c r="F54" s="1" t="s">
        <v>209</v>
      </c>
      <c r="G54" t="s">
        <v>210</v>
      </c>
      <c r="I54" s="2"/>
      <c r="J54" s="2"/>
      <c r="K54" t="s">
        <v>361</v>
      </c>
      <c r="L54" s="10" t="s">
        <v>362</v>
      </c>
      <c r="M54" s="2" t="str">
        <f t="shared" si="1"/>
        <v>EXECUTE [dbo].[PG_CI_ARCUSFIL_PROGRAM_MODEL]  0, 0, 21, 'CHE', 'GM 360 CHEVY / ISUZU / GMC'</v>
      </c>
    </row>
    <row r="55" spans="1:13" x14ac:dyDescent="0.2">
      <c r="A55" s="1">
        <v>37</v>
      </c>
      <c r="B55" s="1" t="s">
        <v>202</v>
      </c>
      <c r="D55" s="1" t="s">
        <v>335</v>
      </c>
      <c r="E55" s="1">
        <v>21</v>
      </c>
      <c r="F55" s="1" t="s">
        <v>207</v>
      </c>
      <c r="G55" t="s">
        <v>208</v>
      </c>
      <c r="I55" s="2"/>
      <c r="J55" s="2"/>
      <c r="K55" t="s">
        <v>361</v>
      </c>
      <c r="L55" s="10" t="s">
        <v>362</v>
      </c>
      <c r="M55" s="2" t="str">
        <f t="shared" si="1"/>
        <v>EXECUTE [dbo].[PG_CI_ARCUSFIL_PROGRAM_MODEL]  0, 0, 21, 'DEN', 'GM 360 DENALY'</v>
      </c>
    </row>
    <row r="56" spans="1:13" x14ac:dyDescent="0.2">
      <c r="A56" s="1">
        <v>37</v>
      </c>
      <c r="B56" s="1" t="s">
        <v>202</v>
      </c>
      <c r="D56" s="1" t="s">
        <v>335</v>
      </c>
      <c r="E56" s="1">
        <v>21</v>
      </c>
      <c r="F56" s="1" t="s">
        <v>205</v>
      </c>
      <c r="G56" t="s">
        <v>206</v>
      </c>
      <c r="I56" s="2"/>
      <c r="J56" s="2"/>
      <c r="K56" t="s">
        <v>361</v>
      </c>
      <c r="L56" s="10" t="s">
        <v>362</v>
      </c>
      <c r="M56" s="2" t="str">
        <f t="shared" si="1"/>
        <v>EXECUTE [dbo].[PG_CI_ARCUSFIL_PROGRAM_MODEL]  0, 0, 21, 'GSS', 'GM 360 TRAILBLAZER SS'</v>
      </c>
    </row>
    <row r="57" spans="1:13" x14ac:dyDescent="0.2">
      <c r="A57" s="1">
        <v>37</v>
      </c>
      <c r="B57" s="1" t="s">
        <v>202</v>
      </c>
      <c r="D57" s="1" t="s">
        <v>335</v>
      </c>
      <c r="E57" s="1">
        <v>21</v>
      </c>
      <c r="F57" s="1" t="s">
        <v>200</v>
      </c>
      <c r="G57" t="s">
        <v>201</v>
      </c>
      <c r="I57" s="2"/>
      <c r="J57" s="2"/>
      <c r="K57" t="s">
        <v>361</v>
      </c>
      <c r="L57" s="10" t="s">
        <v>362</v>
      </c>
      <c r="M57" s="2" t="str">
        <f t="shared" si="1"/>
        <v>EXECUTE [dbo].[PG_CI_ARCUSFIL_PROGRAM_MODEL]  0, 0, 21, 'SAA', 'GM 360 SAAB'</v>
      </c>
    </row>
    <row r="58" spans="1:13" x14ac:dyDescent="0.2">
      <c r="A58" s="1">
        <v>37</v>
      </c>
      <c r="B58" s="1" t="s">
        <v>202</v>
      </c>
      <c r="C58" s="1" t="s">
        <v>354</v>
      </c>
      <c r="D58" s="1" t="s">
        <v>336</v>
      </c>
      <c r="E58" s="1">
        <v>22</v>
      </c>
      <c r="F58" s="1">
        <v>415</v>
      </c>
      <c r="G58" t="s">
        <v>213</v>
      </c>
      <c r="I58" s="2" t="s">
        <v>323</v>
      </c>
      <c r="J58" s="2" t="str">
        <f t="shared" ref="J58:J59" si="5">_xlfn.CONCAT(I58,A58,", '",TRIM(D58),"'")</f>
        <v>EXECUTE [dbo].[PG_CI_ARCUSFIL_PROGRAM]  0, 0, 37, 'P415'</v>
      </c>
      <c r="K58" t="s">
        <v>361</v>
      </c>
      <c r="L58" s="10" t="s">
        <v>362</v>
      </c>
      <c r="M58" s="2" t="str">
        <f t="shared" si="1"/>
        <v>EXECUTE [dbo].[PG_CI_ARCUSFIL_PROGRAM_MODEL]  0, 0, 22, '415', 'P415 PLATINIUM'</v>
      </c>
    </row>
    <row r="59" spans="1:13" x14ac:dyDescent="0.2">
      <c r="A59" s="1">
        <v>37</v>
      </c>
      <c r="B59" s="1" t="s">
        <v>202</v>
      </c>
      <c r="C59" s="1" t="s">
        <v>354</v>
      </c>
      <c r="D59" s="1" t="s">
        <v>337</v>
      </c>
      <c r="E59" s="1">
        <v>23</v>
      </c>
      <c r="F59" s="1">
        <v>228</v>
      </c>
      <c r="G59" t="s">
        <v>214</v>
      </c>
      <c r="I59" s="2" t="s">
        <v>323</v>
      </c>
      <c r="J59" s="2" t="str">
        <f t="shared" si="5"/>
        <v>EXECUTE [dbo].[PG_CI_ARCUSFIL_PROGRAM]  0, 0, 37, 'U228'</v>
      </c>
      <c r="K59" t="s">
        <v>361</v>
      </c>
      <c r="L59" s="10" t="s">
        <v>362</v>
      </c>
      <c r="M59" s="2" t="str">
        <f t="shared" si="1"/>
        <v>EXECUTE [dbo].[PG_CI_ARCUSFIL_PROGRAM_MODEL]  0, 0, 23, '228', 'U228 NAVIGATOR LUX/ULT'</v>
      </c>
    </row>
    <row r="60" spans="1:13" x14ac:dyDescent="0.2">
      <c r="A60" s="1">
        <v>37</v>
      </c>
      <c r="B60" s="1" t="s">
        <v>202</v>
      </c>
      <c r="D60" s="1" t="s">
        <v>337</v>
      </c>
      <c r="E60" s="1">
        <v>23</v>
      </c>
      <c r="F60" s="1" t="s">
        <v>203</v>
      </c>
      <c r="G60" t="s">
        <v>204</v>
      </c>
      <c r="I60" s="2"/>
      <c r="J60" s="2"/>
      <c r="K60" t="s">
        <v>361</v>
      </c>
      <c r="L60" s="10" t="s">
        <v>362</v>
      </c>
      <c r="M60" s="2" t="str">
        <f t="shared" si="1"/>
        <v>EXECUTE [dbo].[PG_CI_ARCUSFIL_PROGRAM_MODEL]  0, 0, 23, 'NAV', 'U228 NAVIGATOR LUX EDIASA 3'</v>
      </c>
    </row>
    <row r="61" spans="1:13" x14ac:dyDescent="0.2">
      <c r="A61" s="1">
        <v>38</v>
      </c>
      <c r="B61" s="1" t="s">
        <v>197</v>
      </c>
      <c r="C61" s="1" t="s">
        <v>354</v>
      </c>
      <c r="D61" s="1" t="s">
        <v>335</v>
      </c>
      <c r="E61" s="1">
        <v>24</v>
      </c>
      <c r="F61" s="1" t="s">
        <v>198</v>
      </c>
      <c r="G61" t="s">
        <v>199</v>
      </c>
      <c r="I61" s="2" t="s">
        <v>323</v>
      </c>
      <c r="J61" s="2" t="str">
        <f>_xlfn.CONCAT(I61,A61,", '",TRIM(D61),"'")</f>
        <v>EXECUTE [dbo].[PG_CI_ARCUSFIL_PROGRAM]  0, 0, 38, 'GM360'</v>
      </c>
      <c r="K61" t="s">
        <v>361</v>
      </c>
      <c r="L61" s="10" t="s">
        <v>362</v>
      </c>
      <c r="M61" s="2" t="str">
        <f t="shared" si="1"/>
        <v>EXECUTE [dbo].[PG_CI_ARCUSFIL_PROGRAM_MODEL]  0, 0, 24, 'SHA', 'GM 360 CHEVY/ISUZU/GMC SHANGAI'</v>
      </c>
    </row>
    <row r="62" spans="1:13" x14ac:dyDescent="0.2">
      <c r="A62" s="1">
        <v>38</v>
      </c>
      <c r="B62" s="1" t="s">
        <v>197</v>
      </c>
      <c r="D62" s="1" t="s">
        <v>335</v>
      </c>
      <c r="E62" s="1">
        <v>24</v>
      </c>
      <c r="F62" s="1" t="s">
        <v>195</v>
      </c>
      <c r="G62" t="s">
        <v>196</v>
      </c>
      <c r="I62" s="2"/>
      <c r="J62" s="2"/>
      <c r="K62" t="s">
        <v>361</v>
      </c>
      <c r="L62" s="10" t="s">
        <v>362</v>
      </c>
      <c r="M62" s="2" t="str">
        <f t="shared" si="1"/>
        <v>EXECUTE [dbo].[PG_CI_ARCUSFIL_PROGRAM_MODEL]  0, 0, 24, 'SHI', 'GM360 CHEVY SHANGAI'</v>
      </c>
    </row>
    <row r="63" spans="1:13" x14ac:dyDescent="0.2">
      <c r="A63" s="1">
        <v>39</v>
      </c>
      <c r="B63" s="1" t="s">
        <v>194</v>
      </c>
      <c r="C63" s="1" t="s">
        <v>354</v>
      </c>
      <c r="D63" s="1" t="s">
        <v>329</v>
      </c>
      <c r="E63" s="1">
        <v>25</v>
      </c>
      <c r="F63" s="1" t="s">
        <v>193</v>
      </c>
      <c r="G63" t="s">
        <v>20</v>
      </c>
      <c r="I63" s="2" t="s">
        <v>323</v>
      </c>
      <c r="J63" s="2" t="str">
        <f t="shared" ref="J63:J64" si="6">_xlfn.CONCAT(I63,A63,", '",TRIM(D63),"'")</f>
        <v>EXECUTE [dbo].[PG_CI_ARCUSFIL_PROGRAM]  0, 0, 39, 'U388'</v>
      </c>
      <c r="K63" t="s">
        <v>361</v>
      </c>
      <c r="L63" s="10" t="s">
        <v>362</v>
      </c>
      <c r="M63" s="2" t="str">
        <f t="shared" si="1"/>
        <v>EXECUTE [dbo].[PG_CI_ARCUSFIL_PROGRAM_MODEL]  0, 0, 25, 'KHE', 'U388 HEADREST'</v>
      </c>
    </row>
    <row r="64" spans="1:13" x14ac:dyDescent="0.2">
      <c r="A64" s="1">
        <v>13</v>
      </c>
      <c r="B64" s="1" t="s">
        <v>175</v>
      </c>
      <c r="C64" s="1" t="s">
        <v>354</v>
      </c>
      <c r="D64" s="1" t="s">
        <v>340</v>
      </c>
      <c r="E64" s="1">
        <v>26</v>
      </c>
      <c r="F64" s="1" t="s">
        <v>178</v>
      </c>
      <c r="G64" t="s">
        <v>179</v>
      </c>
      <c r="I64" s="2" t="s">
        <v>323</v>
      </c>
      <c r="J64" s="2" t="str">
        <f t="shared" si="6"/>
        <v>EXECUTE [dbo].[PG_CI_ARCUSFIL_PROGRAM]  0, 0, 13, 'D258'</v>
      </c>
      <c r="K64" t="s">
        <v>361</v>
      </c>
      <c r="L64" s="10" t="s">
        <v>362</v>
      </c>
      <c r="M64" s="2" t="str">
        <f t="shared" si="1"/>
        <v>EXECUTE [dbo].[PG_CI_ARCUSFIL_PROGRAM_MODEL]  0, 0, 26, 'THL', '2013 D258 TAURUS LTD'</v>
      </c>
    </row>
    <row r="65" spans="1:13" x14ac:dyDescent="0.2">
      <c r="A65" s="1">
        <v>13</v>
      </c>
      <c r="B65" s="1" t="s">
        <v>175</v>
      </c>
      <c r="D65" s="1" t="s">
        <v>340</v>
      </c>
      <c r="E65" s="1">
        <v>26</v>
      </c>
      <c r="F65" s="1" t="s">
        <v>176</v>
      </c>
      <c r="G65" t="s">
        <v>177</v>
      </c>
      <c r="I65" s="2"/>
      <c r="J65" s="2"/>
      <c r="K65" t="s">
        <v>361</v>
      </c>
      <c r="L65" s="10" t="s">
        <v>362</v>
      </c>
      <c r="M65" s="2" t="str">
        <f t="shared" si="1"/>
        <v>EXECUTE [dbo].[PG_CI_ARCUSFIL_PROGRAM_MODEL]  0, 0, 26, 'THO', '2013 D258 TAURUS SHO &amp; LIMITED'</v>
      </c>
    </row>
    <row r="66" spans="1:13" x14ac:dyDescent="0.2">
      <c r="A66" s="1">
        <v>13</v>
      </c>
      <c r="B66" s="1" t="s">
        <v>175</v>
      </c>
      <c r="D66" s="1" t="s">
        <v>340</v>
      </c>
      <c r="E66" s="1">
        <v>26</v>
      </c>
      <c r="F66" s="1" t="s">
        <v>173</v>
      </c>
      <c r="G66" t="s">
        <v>174</v>
      </c>
      <c r="I66" s="2"/>
      <c r="J66" s="2"/>
      <c r="K66" t="s">
        <v>361</v>
      </c>
      <c r="L66" s="10" t="s">
        <v>362</v>
      </c>
      <c r="M66" s="2" t="str">
        <f t="shared" si="1"/>
        <v>EXECUTE [dbo].[PG_CI_ARCUSFIL_PROGRAM_MODEL]  0, 0, 26, 'TSL', '2013 D258 TAURUS SEL'</v>
      </c>
    </row>
    <row r="67" spans="1:13" x14ac:dyDescent="0.2">
      <c r="A67" s="1">
        <v>13</v>
      </c>
      <c r="B67" s="1" t="s">
        <v>175</v>
      </c>
      <c r="C67" s="1" t="s">
        <v>354</v>
      </c>
      <c r="D67" s="1" t="s">
        <v>338</v>
      </c>
      <c r="E67" s="1">
        <v>27</v>
      </c>
      <c r="F67" s="1">
        <v>365</v>
      </c>
      <c r="G67" t="s">
        <v>192</v>
      </c>
      <c r="I67" s="2" t="s">
        <v>323</v>
      </c>
      <c r="J67" s="2" t="str">
        <f>_xlfn.CONCAT(I67,A67,", '",TRIM(D67),"'")</f>
        <v>EXECUTE [dbo].[PG_CI_ARCUSFIL_PROGRAM]  0, 0, 13, 'GMX365'</v>
      </c>
      <c r="K67" t="s">
        <v>361</v>
      </c>
      <c r="L67" s="10" t="s">
        <v>362</v>
      </c>
      <c r="M67" s="2" t="str">
        <f t="shared" si="1"/>
        <v>EXECUTE [dbo].[PG_CI_ARCUSFIL_PROGRAM_MODEL]  0, 0, 27, '365', 'GMX 365 2008 FIXED'</v>
      </c>
    </row>
    <row r="68" spans="1:13" x14ac:dyDescent="0.2">
      <c r="A68" s="1">
        <v>13</v>
      </c>
      <c r="B68" s="1" t="s">
        <v>175</v>
      </c>
      <c r="D68" s="1" t="s">
        <v>338</v>
      </c>
      <c r="E68" s="1">
        <v>27</v>
      </c>
      <c r="F68" s="1" t="s">
        <v>188</v>
      </c>
      <c r="G68" t="s">
        <v>189</v>
      </c>
      <c r="I68" s="2"/>
      <c r="J68" s="2"/>
      <c r="K68" t="s">
        <v>361</v>
      </c>
      <c r="L68" s="10" t="s">
        <v>362</v>
      </c>
      <c r="M68" s="2" t="str">
        <f t="shared" ref="M68:M130" si="7">_xlfn.CONCAT(L68,E68,", '",TRIM(F68),"', '",TRIM(G68),"'")</f>
        <v>EXECUTE [dbo].[PG_CI_ARCUSFIL_PROGRAM_MODEL]  0, 0, 27, 'G65', 'GMX365 BUICK LACROSSE'</v>
      </c>
    </row>
    <row r="69" spans="1:13" x14ac:dyDescent="0.2">
      <c r="A69" s="1">
        <v>13</v>
      </c>
      <c r="B69" s="1" t="s">
        <v>175</v>
      </c>
      <c r="C69" s="1" t="s">
        <v>354</v>
      </c>
      <c r="D69" s="1" t="s">
        <v>339</v>
      </c>
      <c r="E69" s="1">
        <v>28</v>
      </c>
      <c r="F69" s="1" t="s">
        <v>190</v>
      </c>
      <c r="G69" t="s">
        <v>191</v>
      </c>
      <c r="I69" s="2" t="s">
        <v>323</v>
      </c>
      <c r="J69" s="2" t="str">
        <f>_xlfn.CONCAT(I69,A69,", '",TRIM(D69),"'")</f>
        <v>EXECUTE [dbo].[PG_CI_ARCUSFIL_PROGRAM]  0, 0, 13, 'S197'</v>
      </c>
      <c r="K69" t="s">
        <v>361</v>
      </c>
      <c r="L69" s="10" t="s">
        <v>362</v>
      </c>
      <c r="M69" s="2" t="str">
        <f t="shared" si="7"/>
        <v>EXECUTE [dbo].[PG_CI_ARCUSFIL_PROGRAM_MODEL]  0, 0, 28, 'CAL', '2013 S197 MUSTANG CALIFORNIA'</v>
      </c>
    </row>
    <row r="70" spans="1:13" x14ac:dyDescent="0.2">
      <c r="A70" s="1">
        <v>13</v>
      </c>
      <c r="B70" s="1" t="s">
        <v>175</v>
      </c>
      <c r="D70" s="1" t="s">
        <v>339</v>
      </c>
      <c r="E70" s="1">
        <v>28</v>
      </c>
      <c r="F70" s="1" t="s">
        <v>186</v>
      </c>
      <c r="G70" t="s">
        <v>187</v>
      </c>
      <c r="I70" s="2"/>
      <c r="J70" s="2"/>
      <c r="K70" t="s">
        <v>361</v>
      </c>
      <c r="L70" s="10" t="s">
        <v>362</v>
      </c>
      <c r="M70" s="2" t="str">
        <f t="shared" si="7"/>
        <v>EXECUTE [dbo].[PG_CI_ARCUSFIL_PROGRAM_MODEL]  0, 0, 28, 'IUP', '2013 S197 MUSTANG IUP'</v>
      </c>
    </row>
    <row r="71" spans="1:13" x14ac:dyDescent="0.2">
      <c r="A71" s="1">
        <v>13</v>
      </c>
      <c r="B71" s="1" t="s">
        <v>175</v>
      </c>
      <c r="D71" s="1" t="s">
        <v>339</v>
      </c>
      <c r="E71" s="1">
        <v>28</v>
      </c>
      <c r="F71" s="1" t="s">
        <v>184</v>
      </c>
      <c r="G71" t="s">
        <v>185</v>
      </c>
      <c r="I71" s="2"/>
      <c r="J71" s="2"/>
      <c r="K71" t="s">
        <v>361</v>
      </c>
      <c r="L71" s="10" t="s">
        <v>362</v>
      </c>
      <c r="M71" s="2" t="str">
        <f t="shared" si="7"/>
        <v>EXECUTE [dbo].[PG_CI_ARCUSFIL_PROGRAM_MODEL]  0, 0, 28, 'PRM', '2013 S197 MUSTANG PREMIUM'</v>
      </c>
    </row>
    <row r="72" spans="1:13" x14ac:dyDescent="0.2">
      <c r="A72" s="1">
        <v>13</v>
      </c>
      <c r="B72" s="1" t="s">
        <v>175</v>
      </c>
      <c r="D72" s="1" t="s">
        <v>339</v>
      </c>
      <c r="E72" s="1">
        <v>28</v>
      </c>
      <c r="F72" s="1" t="s">
        <v>182</v>
      </c>
      <c r="G72" t="s">
        <v>183</v>
      </c>
      <c r="I72" s="2"/>
      <c r="J72" s="2"/>
      <c r="K72" t="s">
        <v>361</v>
      </c>
      <c r="L72" s="10" t="s">
        <v>362</v>
      </c>
      <c r="M72" s="2" t="str">
        <f t="shared" si="7"/>
        <v>EXECUTE [dbo].[PG_CI_ARCUSFIL_PROGRAM_MODEL]  0, 0, 28, 'SH1', '2013 S197 MUSTANG SHELBY 5B8'</v>
      </c>
    </row>
    <row r="73" spans="1:13" x14ac:dyDescent="0.2">
      <c r="A73" s="1">
        <v>13</v>
      </c>
      <c r="B73" s="1" t="s">
        <v>175</v>
      </c>
      <c r="D73" s="1" t="s">
        <v>339</v>
      </c>
      <c r="E73" s="1">
        <v>28</v>
      </c>
      <c r="F73" s="1" t="s">
        <v>180</v>
      </c>
      <c r="G73" t="s">
        <v>181</v>
      </c>
      <c r="I73" s="2"/>
      <c r="J73" s="2"/>
      <c r="K73" t="s">
        <v>361</v>
      </c>
      <c r="L73" s="10" t="s">
        <v>362</v>
      </c>
      <c r="M73" s="2" t="str">
        <f t="shared" si="7"/>
        <v>EXECUTE [dbo].[PG_CI_ARCUSFIL_PROGRAM_MODEL]  0, 0, 28, 'SH2', '2013 S197 MUSTANG SHELBY TT'</v>
      </c>
    </row>
    <row r="74" spans="1:13" x14ac:dyDescent="0.2">
      <c r="A74" s="1">
        <v>17</v>
      </c>
      <c r="B74" s="1" t="s">
        <v>136</v>
      </c>
      <c r="C74" s="1" t="s">
        <v>354</v>
      </c>
      <c r="D74" s="1" t="s">
        <v>341</v>
      </c>
      <c r="E74" s="1">
        <v>29</v>
      </c>
      <c r="F74" s="1" t="s">
        <v>171</v>
      </c>
      <c r="G74" t="s">
        <v>172</v>
      </c>
      <c r="I74" s="2" t="s">
        <v>323</v>
      </c>
      <c r="J74" s="2" t="str">
        <f>_xlfn.CONCAT(I74,A74,", '",TRIM(D74),"'")</f>
        <v>EXECUTE [dbo].[PG_CI_ARCUSFIL_PROGRAM]  0, 0, 17, 'GMX001'</v>
      </c>
      <c r="K74" t="s">
        <v>361</v>
      </c>
      <c r="L74" s="10" t="s">
        <v>362</v>
      </c>
      <c r="M74" s="2" t="str">
        <f t="shared" si="7"/>
        <v>EXECUTE [dbo].[PG_CI_ARCUSFIL_PROGRAM_MODEL]  0, 0, 29, 'GMC', 'GMX 001 COUPE'</v>
      </c>
    </row>
    <row r="75" spans="1:13" x14ac:dyDescent="0.2">
      <c r="A75" s="1">
        <v>17</v>
      </c>
      <c r="B75" s="1" t="s">
        <v>136</v>
      </c>
      <c r="D75" s="1" t="s">
        <v>341</v>
      </c>
      <c r="E75" s="1">
        <v>29</v>
      </c>
      <c r="F75" s="1" t="s">
        <v>169</v>
      </c>
      <c r="G75" t="s">
        <v>170</v>
      </c>
      <c r="I75" s="2"/>
      <c r="J75" s="2"/>
      <c r="K75" t="s">
        <v>361</v>
      </c>
      <c r="L75" s="10" t="s">
        <v>362</v>
      </c>
      <c r="M75" s="2" t="str">
        <f t="shared" si="7"/>
        <v>EXECUTE [dbo].[PG_CI_ARCUSFIL_PROGRAM_MODEL]  0, 0, 29, 'GX1', 'GMX 001 COUPE L4'</v>
      </c>
    </row>
    <row r="76" spans="1:13" x14ac:dyDescent="0.2">
      <c r="A76" s="1">
        <v>17</v>
      </c>
      <c r="B76" s="1" t="s">
        <v>136</v>
      </c>
      <c r="D76" s="1" t="s">
        <v>341</v>
      </c>
      <c r="E76" s="1">
        <v>29</v>
      </c>
      <c r="F76" s="1" t="s">
        <v>167</v>
      </c>
      <c r="G76" t="s">
        <v>168</v>
      </c>
      <c r="I76" s="2"/>
      <c r="J76" s="2"/>
      <c r="K76" t="s">
        <v>361</v>
      </c>
      <c r="L76" s="10" t="s">
        <v>362</v>
      </c>
      <c r="M76" s="2" t="str">
        <f t="shared" si="7"/>
        <v>EXECUTE [dbo].[PG_CI_ARCUSFIL_PROGRAM_MODEL]  0, 0, 29, 'GXS', 'GMX001 SEDAN'</v>
      </c>
    </row>
    <row r="77" spans="1:13" x14ac:dyDescent="0.2">
      <c r="A77" s="1">
        <v>17</v>
      </c>
      <c r="B77" s="1" t="s">
        <v>136</v>
      </c>
      <c r="C77" s="1" t="s">
        <v>354</v>
      </c>
      <c r="D77" s="1" t="s">
        <v>343</v>
      </c>
      <c r="E77" s="1">
        <v>30</v>
      </c>
      <c r="F77" s="1" t="s">
        <v>155</v>
      </c>
      <c r="G77" t="s">
        <v>156</v>
      </c>
      <c r="I77" s="2" t="s">
        <v>323</v>
      </c>
      <c r="J77" s="2" t="str">
        <f>_xlfn.CONCAT(I77,A77,", '",TRIM(D77),"'")</f>
        <v>EXECUTE [dbo].[PG_CI_ARCUSFIL_PROGRAM]  0, 0, 17, 'U204'</v>
      </c>
      <c r="K77" t="s">
        <v>361</v>
      </c>
      <c r="L77" s="10" t="s">
        <v>362</v>
      </c>
      <c r="M77" s="2" t="str">
        <f t="shared" si="7"/>
        <v>EXECUTE [dbo].[PG_CI_ARCUSFIL_PROGRAM_MODEL]  0, 0, 30, 'U20', 'U204 MAZDA AIR BAG'</v>
      </c>
    </row>
    <row r="78" spans="1:13" x14ac:dyDescent="0.2">
      <c r="A78" s="1">
        <v>17</v>
      </c>
      <c r="B78" s="1" t="s">
        <v>136</v>
      </c>
      <c r="D78" s="1" t="s">
        <v>343</v>
      </c>
      <c r="E78" s="1">
        <v>30</v>
      </c>
      <c r="F78" s="1" t="s">
        <v>153</v>
      </c>
      <c r="G78" t="s">
        <v>154</v>
      </c>
      <c r="I78" s="2"/>
      <c r="J78" s="2"/>
      <c r="K78" t="s">
        <v>361</v>
      </c>
      <c r="L78" s="10" t="s">
        <v>362</v>
      </c>
      <c r="M78" s="2" t="str">
        <f t="shared" si="7"/>
        <v>EXECUTE [dbo].[PG_CI_ARCUSFIL_PROGRAM_MODEL]  0, 0, 30, 'U2F', 'U204 FORD LTD AB'</v>
      </c>
    </row>
    <row r="79" spans="1:13" x14ac:dyDescent="0.2">
      <c r="A79" s="1">
        <v>17</v>
      </c>
      <c r="B79" s="1" t="s">
        <v>136</v>
      </c>
      <c r="D79" s="1" t="s">
        <v>343</v>
      </c>
      <c r="E79" s="1">
        <v>30</v>
      </c>
      <c r="F79" s="1" t="s">
        <v>151</v>
      </c>
      <c r="G79" t="s">
        <v>152</v>
      </c>
      <c r="I79" s="2"/>
      <c r="J79" s="2"/>
      <c r="K79" t="s">
        <v>361</v>
      </c>
      <c r="L79" s="10" t="s">
        <v>362</v>
      </c>
      <c r="M79" s="2" t="str">
        <f t="shared" si="7"/>
        <v>EXECUTE [dbo].[PG_CI_ARCUSFIL_PROGRAM_MODEL]  0, 0, 30, 'U2L', 'U204 FORD LTD STD'</v>
      </c>
    </row>
    <row r="80" spans="1:13" x14ac:dyDescent="0.2">
      <c r="A80" s="1">
        <v>17</v>
      </c>
      <c r="B80" s="1" t="s">
        <v>136</v>
      </c>
      <c r="D80" s="1" t="s">
        <v>343</v>
      </c>
      <c r="E80" s="1">
        <v>30</v>
      </c>
      <c r="F80" s="1" t="s">
        <v>149</v>
      </c>
      <c r="G80" t="s">
        <v>150</v>
      </c>
      <c r="I80" s="2"/>
      <c r="J80" s="2"/>
      <c r="K80" t="s">
        <v>361</v>
      </c>
      <c r="L80" s="10" t="s">
        <v>362</v>
      </c>
      <c r="M80" s="2" t="str">
        <f t="shared" si="7"/>
        <v>EXECUTE [dbo].[PG_CI_ARCUSFIL_PROGRAM_MODEL]  0, 0, 30, 'U2M', 'U204 MAZDA PREMIUM'</v>
      </c>
    </row>
    <row r="81" spans="1:13" x14ac:dyDescent="0.2">
      <c r="A81" s="1">
        <v>17</v>
      </c>
      <c r="B81" s="1" t="s">
        <v>136</v>
      </c>
      <c r="C81" s="1" t="s">
        <v>354</v>
      </c>
      <c r="D81" s="1" t="s">
        <v>328</v>
      </c>
      <c r="E81" s="1">
        <v>31</v>
      </c>
      <c r="F81" s="1" t="s">
        <v>145</v>
      </c>
      <c r="G81" t="s">
        <v>146</v>
      </c>
      <c r="I81" s="2" t="s">
        <v>323</v>
      </c>
      <c r="J81" s="2" t="str">
        <f>_xlfn.CONCAT(I81,A81,", '",TRIM(D81),"'")</f>
        <v>EXECUTE [dbo].[PG_CI_ARCUSFIL_PROGRAM]  0, 0, 17, 'U364'</v>
      </c>
      <c r="K81" t="s">
        <v>361</v>
      </c>
      <c r="L81" s="10" t="s">
        <v>362</v>
      </c>
      <c r="M81" s="2" t="str">
        <f t="shared" si="7"/>
        <v>EXECUTE [dbo].[PG_CI_ARCUSFIL_PROGRAM_MODEL]  0, 0, 31, 'U3L', 'U364 MERCURY LTD STD'</v>
      </c>
    </row>
    <row r="82" spans="1:13" x14ac:dyDescent="0.2">
      <c r="A82" s="1">
        <v>17</v>
      </c>
      <c r="B82" s="1" t="s">
        <v>136</v>
      </c>
      <c r="D82" s="1" t="s">
        <v>328</v>
      </c>
      <c r="E82" s="1">
        <v>31</v>
      </c>
      <c r="F82" s="1" t="s">
        <v>141</v>
      </c>
      <c r="G82" t="s">
        <v>142</v>
      </c>
      <c r="I82" s="2"/>
      <c r="J82" s="2"/>
      <c r="K82" t="s">
        <v>361</v>
      </c>
      <c r="L82" s="10" t="s">
        <v>362</v>
      </c>
      <c r="M82" s="2" t="str">
        <f t="shared" si="7"/>
        <v>EXECUTE [dbo].[PG_CI_ARCUSFIL_PROGRAM_MODEL]  0, 0, 31, 'U3P', 'U364 MCY PREMIUM'</v>
      </c>
    </row>
    <row r="83" spans="1:13" x14ac:dyDescent="0.2">
      <c r="A83" s="1">
        <v>17</v>
      </c>
      <c r="B83" s="1" t="s">
        <v>136</v>
      </c>
      <c r="C83" s="1" t="s">
        <v>354</v>
      </c>
      <c r="D83" s="1" t="s">
        <v>325</v>
      </c>
      <c r="E83" s="1">
        <v>32</v>
      </c>
      <c r="F83" s="1" t="s">
        <v>165</v>
      </c>
      <c r="G83" t="s">
        <v>166</v>
      </c>
      <c r="I83" s="2" t="s">
        <v>323</v>
      </c>
      <c r="J83" s="2" t="str">
        <f>_xlfn.CONCAT(I83,A83,", '",TRIM(D83),"'")</f>
        <v>EXECUTE [dbo].[PG_CI_ARCUSFIL_PROGRAM]  0, 0, 17, 'U377'</v>
      </c>
      <c r="K83" t="s">
        <v>361</v>
      </c>
      <c r="L83" s="10" t="s">
        <v>362</v>
      </c>
      <c r="M83" s="2" t="str">
        <f t="shared" si="7"/>
        <v>EXECUTE [dbo].[PG_CI_ARCUSFIL_PROGRAM_MODEL]  0, 0, 32, 'HRM', 'U377 HEADREST 2010'</v>
      </c>
    </row>
    <row r="84" spans="1:13" x14ac:dyDescent="0.2">
      <c r="A84" s="1">
        <v>17</v>
      </c>
      <c r="B84" s="1" t="s">
        <v>136</v>
      </c>
      <c r="D84" s="1" t="s">
        <v>325</v>
      </c>
      <c r="E84" s="1">
        <v>32</v>
      </c>
      <c r="F84" s="1" t="s">
        <v>163</v>
      </c>
      <c r="G84" t="s">
        <v>164</v>
      </c>
      <c r="I84" s="2"/>
      <c r="J84" s="2"/>
      <c r="K84" t="s">
        <v>361</v>
      </c>
      <c r="L84" s="10" t="s">
        <v>362</v>
      </c>
      <c r="M84" s="2" t="str">
        <f t="shared" si="7"/>
        <v>EXECUTE [dbo].[PG_CI_ARCUSFIL_PROGRAM_MODEL]  0, 0, 32, 'MAZ', 'U377 MAZDA PREMIUM 2009'</v>
      </c>
    </row>
    <row r="85" spans="1:13" x14ac:dyDescent="0.2">
      <c r="A85" s="1">
        <v>17</v>
      </c>
      <c r="B85" s="1" t="s">
        <v>136</v>
      </c>
      <c r="D85" s="1" t="s">
        <v>325</v>
      </c>
      <c r="E85" s="1">
        <v>32</v>
      </c>
      <c r="F85" s="1" t="s">
        <v>161</v>
      </c>
      <c r="G85" t="s">
        <v>162</v>
      </c>
      <c r="I85" s="2"/>
      <c r="J85" s="2"/>
      <c r="K85" t="s">
        <v>361</v>
      </c>
      <c r="L85" s="10" t="s">
        <v>362</v>
      </c>
      <c r="M85" s="2" t="str">
        <f t="shared" si="7"/>
        <v>EXECUTE [dbo].[PG_CI_ARCUSFIL_PROGRAM_MODEL]  0, 0, 32, 'MP9', 'U377 MERCURY PREMIUM 2009'</v>
      </c>
    </row>
    <row r="86" spans="1:13" x14ac:dyDescent="0.2">
      <c r="A86" s="1">
        <v>17</v>
      </c>
      <c r="B86" s="1" t="s">
        <v>136</v>
      </c>
      <c r="D86" s="1" t="s">
        <v>325</v>
      </c>
      <c r="E86" s="1">
        <v>32</v>
      </c>
      <c r="F86" s="1" t="s">
        <v>159</v>
      </c>
      <c r="G86" t="s">
        <v>160</v>
      </c>
      <c r="I86" s="2"/>
      <c r="J86" s="2"/>
      <c r="K86" t="s">
        <v>361</v>
      </c>
      <c r="L86" s="10" t="s">
        <v>362</v>
      </c>
      <c r="M86" s="2" t="str">
        <f t="shared" si="7"/>
        <v>EXECUTE [dbo].[PG_CI_ARCUSFIL_PROGRAM_MODEL]  0, 0, 32, 'PL1', 'U377 FORD PREMIUM 11 PLM'</v>
      </c>
    </row>
    <row r="87" spans="1:13" x14ac:dyDescent="0.2">
      <c r="A87" s="1">
        <v>17</v>
      </c>
      <c r="B87" s="1" t="s">
        <v>136</v>
      </c>
      <c r="D87" s="1" t="s">
        <v>325</v>
      </c>
      <c r="E87" s="1">
        <v>32</v>
      </c>
      <c r="F87" s="1" t="s">
        <v>147</v>
      </c>
      <c r="G87" t="s">
        <v>148</v>
      </c>
      <c r="I87" s="2"/>
      <c r="J87" s="2"/>
      <c r="K87" t="s">
        <v>361</v>
      </c>
      <c r="L87" s="10" t="s">
        <v>362</v>
      </c>
      <c r="M87" s="2" t="str">
        <f t="shared" si="7"/>
        <v>EXECUTE [dbo].[PG_CI_ARCUSFIL_PROGRAM_MODEL]  0, 0, 32, 'U37', 'U377 MERCURY LTD 2008'</v>
      </c>
    </row>
    <row r="88" spans="1:13" x14ac:dyDescent="0.2">
      <c r="A88" s="1">
        <v>17</v>
      </c>
      <c r="B88" s="1" t="s">
        <v>136</v>
      </c>
      <c r="D88" s="1" t="s">
        <v>325</v>
      </c>
      <c r="E88" s="1">
        <v>32</v>
      </c>
      <c r="F88" s="1" t="s">
        <v>143</v>
      </c>
      <c r="G88" t="s">
        <v>144</v>
      </c>
      <c r="I88" s="2"/>
      <c r="J88" s="2"/>
      <c r="K88" t="s">
        <v>361</v>
      </c>
      <c r="L88" s="10" t="s">
        <v>362</v>
      </c>
      <c r="M88" s="2" t="str">
        <f t="shared" si="7"/>
        <v>EXECUTE [dbo].[PG_CI_ARCUSFIL_PROGRAM_MODEL]  0, 0, 32, 'U3M', 'U377 MERCURY PREMIUM 2008'</v>
      </c>
    </row>
    <row r="89" spans="1:13" x14ac:dyDescent="0.2">
      <c r="A89" s="1">
        <v>17</v>
      </c>
      <c r="B89" s="1" t="s">
        <v>136</v>
      </c>
      <c r="D89" s="1" t="s">
        <v>325</v>
      </c>
      <c r="E89" s="1">
        <v>32</v>
      </c>
      <c r="F89" s="1" t="s">
        <v>137</v>
      </c>
      <c r="G89" t="s">
        <v>138</v>
      </c>
      <c r="I89" s="2"/>
      <c r="J89" s="2"/>
      <c r="K89" t="s">
        <v>361</v>
      </c>
      <c r="L89" s="10" t="s">
        <v>362</v>
      </c>
      <c r="M89" s="2" t="str">
        <f t="shared" si="7"/>
        <v>EXECUTE [dbo].[PG_CI_ARCUSFIL_PROGRAM_MODEL]  0, 0, 32, 'U77', 'U377 FORD MONO TONE'</v>
      </c>
    </row>
    <row r="90" spans="1:13" x14ac:dyDescent="0.2">
      <c r="A90" s="1">
        <v>17</v>
      </c>
      <c r="B90" s="1" t="s">
        <v>136</v>
      </c>
      <c r="D90" s="1" t="s">
        <v>325</v>
      </c>
      <c r="E90" s="1">
        <v>32</v>
      </c>
      <c r="F90" s="1" t="s">
        <v>134</v>
      </c>
      <c r="G90" t="s">
        <v>135</v>
      </c>
      <c r="I90" s="2"/>
      <c r="J90" s="2"/>
      <c r="K90" t="s">
        <v>361</v>
      </c>
      <c r="L90" s="10" t="s">
        <v>362</v>
      </c>
      <c r="M90" s="2" t="str">
        <f t="shared" si="7"/>
        <v>EXECUTE [dbo].[PG_CI_ARCUSFIL_PROGRAM_MODEL]  0, 0, 32, 'UMA', 'U377 MAZDA PREMIUM 2008'</v>
      </c>
    </row>
    <row r="91" spans="1:13" x14ac:dyDescent="0.2">
      <c r="A91" s="1">
        <v>17</v>
      </c>
      <c r="B91" s="1" t="s">
        <v>136</v>
      </c>
      <c r="C91" s="1" t="s">
        <v>354</v>
      </c>
      <c r="D91" s="1" t="s">
        <v>344</v>
      </c>
      <c r="E91" s="1">
        <v>33</v>
      </c>
      <c r="F91" s="1" t="s">
        <v>139</v>
      </c>
      <c r="G91" t="s">
        <v>140</v>
      </c>
      <c r="I91" s="2" t="s">
        <v>323</v>
      </c>
      <c r="J91" s="2" t="str">
        <f t="shared" ref="J91:J93" si="8">_xlfn.CONCAT(I91,A91,", '",TRIM(D91),"'")</f>
        <v>EXECUTE [dbo].[PG_CI_ARCUSFIL_PROGRAM]  0, 0, 17, 'U553'</v>
      </c>
      <c r="K91" t="s">
        <v>361</v>
      </c>
      <c r="L91" s="10" t="s">
        <v>362</v>
      </c>
      <c r="M91" s="2" t="str">
        <f t="shared" si="7"/>
        <v>EXECUTE [dbo].[PG_CI_ARCUSFIL_PROGRAM_MODEL]  0, 0, 33, 'U55', '2019 U553 EXPEDITION'</v>
      </c>
    </row>
    <row r="92" spans="1:13" x14ac:dyDescent="0.2">
      <c r="A92" s="1">
        <v>17</v>
      </c>
      <c r="B92" s="1" t="s">
        <v>136</v>
      </c>
      <c r="C92" s="1" t="s">
        <v>354</v>
      </c>
      <c r="D92" s="1" t="s">
        <v>342</v>
      </c>
      <c r="E92" s="1">
        <v>34</v>
      </c>
      <c r="F92" s="1" t="s">
        <v>157</v>
      </c>
      <c r="G92" t="s">
        <v>158</v>
      </c>
      <c r="I92" s="2" t="s">
        <v>323</v>
      </c>
      <c r="J92" s="2" t="str">
        <f t="shared" si="8"/>
        <v>EXECUTE [dbo].[PG_CI_ARCUSFIL_PROGRAM]  0, 0, 17, 'VN127'</v>
      </c>
      <c r="K92" t="s">
        <v>361</v>
      </c>
      <c r="L92" s="10" t="s">
        <v>362</v>
      </c>
      <c r="M92" s="2" t="str">
        <f t="shared" si="7"/>
        <v>EXECUTE [dbo].[PG_CI_ARCUSFIL_PROGRAM_MODEL]  0, 0, 34, 'PLA', 'VN-127 FORD ECONOLINE'</v>
      </c>
    </row>
    <row r="93" spans="1:13" x14ac:dyDescent="0.2">
      <c r="A93" s="1">
        <v>18</v>
      </c>
      <c r="B93" s="1" t="s">
        <v>105</v>
      </c>
      <c r="C93" s="1" t="s">
        <v>354</v>
      </c>
      <c r="D93" s="1" t="s">
        <v>324</v>
      </c>
      <c r="E93" s="1">
        <v>35</v>
      </c>
      <c r="F93" s="1" t="s">
        <v>132</v>
      </c>
      <c r="G93" t="s">
        <v>133</v>
      </c>
      <c r="I93" s="2" t="s">
        <v>323</v>
      </c>
      <c r="J93" s="2" t="str">
        <f t="shared" si="8"/>
        <v>EXECUTE [dbo].[PG_CI_ARCUSFIL_PROGRAM]  0, 0, 18, 'WL'</v>
      </c>
      <c r="K93" t="s">
        <v>361</v>
      </c>
      <c r="L93" s="10" t="s">
        <v>362</v>
      </c>
      <c r="M93" s="2" t="str">
        <f t="shared" si="7"/>
        <v>EXECUTE [dbo].[PG_CI_ARCUSFIL_PROGRAM_MODEL]  0, 0, 35, 'W7A', '2021 WL 74 AL'</v>
      </c>
    </row>
    <row r="94" spans="1:13" x14ac:dyDescent="0.2">
      <c r="A94" s="1">
        <v>18</v>
      </c>
      <c r="B94" s="1" t="s">
        <v>105</v>
      </c>
      <c r="D94" s="1" t="s">
        <v>324</v>
      </c>
      <c r="E94" s="1">
        <v>35</v>
      </c>
      <c r="F94" s="1" t="s">
        <v>130</v>
      </c>
      <c r="G94" t="s">
        <v>131</v>
      </c>
      <c r="I94" s="2"/>
      <c r="J94" s="2"/>
      <c r="K94" t="s">
        <v>361</v>
      </c>
      <c r="L94" s="10" t="s">
        <v>362</v>
      </c>
      <c r="M94" s="2" t="str">
        <f t="shared" si="7"/>
        <v>EXECUTE [dbo].[PG_CI_ARCUSFIL_PROGRAM_MODEL]  0, 0, 35, 'W7B', '2021 WL 74 BL'</v>
      </c>
    </row>
    <row r="95" spans="1:13" x14ac:dyDescent="0.2">
      <c r="A95" s="1">
        <v>18</v>
      </c>
      <c r="B95" s="1" t="s">
        <v>105</v>
      </c>
      <c r="D95" s="1" t="s">
        <v>324</v>
      </c>
      <c r="E95" s="1">
        <v>35</v>
      </c>
      <c r="F95" s="1" t="s">
        <v>128</v>
      </c>
      <c r="G95" t="s">
        <v>129</v>
      </c>
      <c r="I95" s="2"/>
      <c r="J95" s="2"/>
      <c r="K95" t="s">
        <v>361</v>
      </c>
      <c r="L95" s="10" t="s">
        <v>362</v>
      </c>
      <c r="M95" s="2" t="str">
        <f t="shared" si="7"/>
        <v>EXECUTE [dbo].[PG_CI_ARCUSFIL_PROGRAM_MODEL]  0, 0, 35, 'W7C', '2021 WL 74 CL 8W'</v>
      </c>
    </row>
    <row r="96" spans="1:13" x14ac:dyDescent="0.2">
      <c r="A96" s="1">
        <v>18</v>
      </c>
      <c r="B96" s="1" t="s">
        <v>105</v>
      </c>
      <c r="D96" s="1" t="s">
        <v>324</v>
      </c>
      <c r="E96" s="1">
        <v>35</v>
      </c>
      <c r="F96" s="1" t="s">
        <v>126</v>
      </c>
      <c r="G96" t="s">
        <v>127</v>
      </c>
      <c r="I96" s="2"/>
      <c r="J96" s="2"/>
      <c r="K96" t="s">
        <v>361</v>
      </c>
      <c r="L96" s="10" t="s">
        <v>362</v>
      </c>
      <c r="M96" s="2" t="str">
        <f t="shared" si="7"/>
        <v>EXECUTE [dbo].[PG_CI_ARCUSFIL_PROGRAM_MODEL]  0, 0, 35, 'W7D', '2021 WL 74 DL'</v>
      </c>
    </row>
    <row r="97" spans="1:13" x14ac:dyDescent="0.2">
      <c r="A97" s="1">
        <v>18</v>
      </c>
      <c r="B97" s="1" t="s">
        <v>105</v>
      </c>
      <c r="D97" s="1" t="s">
        <v>324</v>
      </c>
      <c r="E97" s="1">
        <v>35</v>
      </c>
      <c r="F97" s="1" t="s">
        <v>124</v>
      </c>
      <c r="G97" t="s">
        <v>125</v>
      </c>
      <c r="I97" s="2"/>
      <c r="J97" s="2"/>
      <c r="K97" t="s">
        <v>361</v>
      </c>
      <c r="L97" s="10" t="s">
        <v>362</v>
      </c>
      <c r="M97" s="2" t="str">
        <f t="shared" si="7"/>
        <v>EXECUTE [dbo].[PG_CI_ARCUSFIL_PROGRAM_MODEL]  0, 0, 35, 'W7E', '2021 WL 74 EC'</v>
      </c>
    </row>
    <row r="98" spans="1:13" x14ac:dyDescent="0.2">
      <c r="A98" s="1">
        <v>18</v>
      </c>
      <c r="B98" s="1" t="s">
        <v>105</v>
      </c>
      <c r="D98" s="1" t="s">
        <v>324</v>
      </c>
      <c r="E98" s="1">
        <v>35</v>
      </c>
      <c r="F98" s="1" t="s">
        <v>122</v>
      </c>
      <c r="G98" t="s">
        <v>123</v>
      </c>
      <c r="I98" s="2"/>
      <c r="J98" s="2"/>
      <c r="K98" t="s">
        <v>361</v>
      </c>
      <c r="L98" s="10" t="s">
        <v>362</v>
      </c>
      <c r="M98" s="2" t="str">
        <f t="shared" si="7"/>
        <v>EXECUTE [dbo].[PG_CI_ARCUSFIL_PROGRAM_MODEL]  0, 0, 35, 'W7S', '2021 WL 74 SL'</v>
      </c>
    </row>
    <row r="99" spans="1:13" x14ac:dyDescent="0.2">
      <c r="A99" s="1">
        <v>18</v>
      </c>
      <c r="B99" s="1" t="s">
        <v>105</v>
      </c>
      <c r="D99" s="1" t="s">
        <v>324</v>
      </c>
      <c r="E99" s="1">
        <v>35</v>
      </c>
      <c r="F99" s="1" t="s">
        <v>120</v>
      </c>
      <c r="G99" t="s">
        <v>121</v>
      </c>
      <c r="I99" s="2"/>
      <c r="J99" s="2"/>
      <c r="K99" t="s">
        <v>361</v>
      </c>
      <c r="L99" s="10" t="s">
        <v>362</v>
      </c>
      <c r="M99" s="2" t="str">
        <f t="shared" si="7"/>
        <v>EXECUTE [dbo].[PG_CI_ARCUSFIL_PROGRAM_MODEL]  0, 0, 35, 'W7T', '2021 WL 74 TL'</v>
      </c>
    </row>
    <row r="100" spans="1:13" x14ac:dyDescent="0.2">
      <c r="A100" s="1">
        <v>18</v>
      </c>
      <c r="B100" s="1" t="s">
        <v>105</v>
      </c>
      <c r="D100" s="1" t="s">
        <v>324</v>
      </c>
      <c r="E100" s="1">
        <v>35</v>
      </c>
      <c r="F100" s="1" t="s">
        <v>118</v>
      </c>
      <c r="G100" t="s">
        <v>119</v>
      </c>
      <c r="I100" s="2"/>
      <c r="J100" s="2"/>
      <c r="K100" t="s">
        <v>361</v>
      </c>
      <c r="L100" s="10" t="s">
        <v>362</v>
      </c>
      <c r="M100" s="2" t="str">
        <f t="shared" si="7"/>
        <v>EXECUTE [dbo].[PG_CI_ARCUSFIL_PROGRAM_MODEL]  0, 0, 35, 'WAL', '2021 WL 75 AL 8W LIMITED'</v>
      </c>
    </row>
    <row r="101" spans="1:13" x14ac:dyDescent="0.2">
      <c r="A101" s="1">
        <v>18</v>
      </c>
      <c r="B101" s="1" t="s">
        <v>105</v>
      </c>
      <c r="D101" s="1" t="s">
        <v>324</v>
      </c>
      <c r="E101" s="1">
        <v>35</v>
      </c>
      <c r="F101" s="1" t="s">
        <v>116</v>
      </c>
      <c r="G101" t="s">
        <v>117</v>
      </c>
      <c r="I101" s="2"/>
      <c r="J101" s="2"/>
      <c r="K101" t="s">
        <v>361</v>
      </c>
      <c r="L101" s="10" t="s">
        <v>362</v>
      </c>
      <c r="M101" s="2" t="str">
        <f t="shared" si="7"/>
        <v>EXECUTE [dbo].[PG_CI_ARCUSFIL_PROGRAM_MODEL]  0, 0, 35, 'WC1', '2021 WL 75 CL 12 WAY'</v>
      </c>
    </row>
    <row r="102" spans="1:13" x14ac:dyDescent="0.2">
      <c r="A102" s="1">
        <v>18</v>
      </c>
      <c r="B102" s="1" t="s">
        <v>105</v>
      </c>
      <c r="D102" s="1" t="s">
        <v>324</v>
      </c>
      <c r="E102" s="1">
        <v>35</v>
      </c>
      <c r="F102" s="1" t="s">
        <v>114</v>
      </c>
      <c r="G102" t="s">
        <v>115</v>
      </c>
      <c r="I102" s="2"/>
      <c r="J102" s="2"/>
      <c r="K102" t="s">
        <v>361</v>
      </c>
      <c r="L102" s="10" t="s">
        <v>362</v>
      </c>
      <c r="M102" s="2" t="str">
        <f t="shared" si="7"/>
        <v>EXECUTE [dbo].[PG_CI_ARCUSFIL_PROGRAM_MODEL]  0, 0, 35, 'WCL', '2021 WL 75 CL 8 WAY'</v>
      </c>
    </row>
    <row r="103" spans="1:13" x14ac:dyDescent="0.2">
      <c r="A103" s="1">
        <v>18</v>
      </c>
      <c r="B103" s="1" t="s">
        <v>105</v>
      </c>
      <c r="D103" s="1" t="s">
        <v>324</v>
      </c>
      <c r="E103" s="1">
        <v>35</v>
      </c>
      <c r="F103" s="1" t="s">
        <v>112</v>
      </c>
      <c r="G103" t="s">
        <v>113</v>
      </c>
      <c r="I103" s="2"/>
      <c r="J103" s="2"/>
      <c r="K103" t="s">
        <v>361</v>
      </c>
      <c r="L103" s="10" t="s">
        <v>362</v>
      </c>
      <c r="M103" s="2" t="str">
        <f t="shared" si="7"/>
        <v>EXECUTE [dbo].[PG_CI_ARCUSFIL_PROGRAM_MODEL]  0, 0, 35, 'WDL', '2021 WL 75 DL LIMITED'</v>
      </c>
    </row>
    <row r="104" spans="1:13" x14ac:dyDescent="0.2">
      <c r="A104" s="1">
        <v>18</v>
      </c>
      <c r="B104" s="1" t="s">
        <v>105</v>
      </c>
      <c r="D104" s="1" t="s">
        <v>324</v>
      </c>
      <c r="E104" s="1">
        <v>35</v>
      </c>
      <c r="F104" s="1" t="s">
        <v>110</v>
      </c>
      <c r="G104" t="s">
        <v>111</v>
      </c>
      <c r="I104" s="2"/>
      <c r="J104" s="2"/>
      <c r="K104" t="s">
        <v>361</v>
      </c>
      <c r="L104" s="10" t="s">
        <v>362</v>
      </c>
      <c r="M104" s="2" t="str">
        <f t="shared" si="7"/>
        <v>EXECUTE [dbo].[PG_CI_ARCUSFIL_PROGRAM_MODEL]  0, 0, 35, 'WEC', '2021 WL 75 EC SUMMIT'</v>
      </c>
    </row>
    <row r="105" spans="1:13" x14ac:dyDescent="0.2">
      <c r="A105" s="1">
        <v>18</v>
      </c>
      <c r="B105" s="1" t="s">
        <v>105</v>
      </c>
      <c r="D105" s="1" t="s">
        <v>324</v>
      </c>
      <c r="E105" s="1">
        <v>35</v>
      </c>
      <c r="F105" s="1" t="s">
        <v>108</v>
      </c>
      <c r="G105" t="s">
        <v>109</v>
      </c>
      <c r="I105" s="2"/>
      <c r="J105" s="2"/>
      <c r="K105" t="s">
        <v>361</v>
      </c>
      <c r="L105" s="10" t="s">
        <v>362</v>
      </c>
      <c r="M105" s="2" t="str">
        <f t="shared" si="7"/>
        <v>EXECUTE [dbo].[PG_CI_ARCUSFIL_PROGRAM_MODEL]  0, 0, 35, 'WLB', '2021 WL 75 BL OVERLAND'</v>
      </c>
    </row>
    <row r="106" spans="1:13" x14ac:dyDescent="0.2">
      <c r="A106" s="1">
        <v>18</v>
      </c>
      <c r="B106" s="1" t="s">
        <v>105</v>
      </c>
      <c r="D106" s="1" t="s">
        <v>324</v>
      </c>
      <c r="E106" s="1">
        <v>35</v>
      </c>
      <c r="F106" s="1" t="s">
        <v>106</v>
      </c>
      <c r="G106" t="s">
        <v>107</v>
      </c>
      <c r="I106" s="2"/>
      <c r="J106" s="2"/>
      <c r="K106" t="s">
        <v>361</v>
      </c>
      <c r="L106" s="10" t="s">
        <v>362</v>
      </c>
      <c r="M106" s="2" t="str">
        <f t="shared" si="7"/>
        <v>EXECUTE [dbo].[PG_CI_ARCUSFIL_PROGRAM_MODEL]  0, 0, 35, 'WLK', '2021 WL KL 8W BASE SRT'</v>
      </c>
    </row>
    <row r="107" spans="1:13" x14ac:dyDescent="0.2">
      <c r="A107" s="1">
        <v>18</v>
      </c>
      <c r="B107" s="1" t="s">
        <v>105</v>
      </c>
      <c r="D107" s="1" t="s">
        <v>324</v>
      </c>
      <c r="E107" s="1">
        <v>35</v>
      </c>
      <c r="F107" s="1" t="s">
        <v>103</v>
      </c>
      <c r="G107" t="s">
        <v>104</v>
      </c>
      <c r="I107" s="2"/>
      <c r="J107" s="2"/>
      <c r="K107" t="s">
        <v>361</v>
      </c>
      <c r="L107" s="10" t="s">
        <v>362</v>
      </c>
      <c r="M107" s="2" t="str">
        <f t="shared" si="7"/>
        <v>EXECUTE [dbo].[PG_CI_ARCUSFIL_PROGRAM_MODEL]  0, 0, 35, 'WTL', '2021 WL 75 TL 12 WAY'</v>
      </c>
    </row>
    <row r="108" spans="1:13" x14ac:dyDescent="0.2">
      <c r="A108" s="1">
        <v>19</v>
      </c>
      <c r="B108" s="1" t="s">
        <v>24</v>
      </c>
      <c r="C108" s="1" t="s">
        <v>354</v>
      </c>
      <c r="D108" s="1" t="s">
        <v>345</v>
      </c>
      <c r="E108" s="1">
        <v>36</v>
      </c>
      <c r="F108" s="1" t="s">
        <v>88</v>
      </c>
      <c r="G108" t="s">
        <v>89</v>
      </c>
      <c r="I108" s="2" t="s">
        <v>323</v>
      </c>
      <c r="J108" s="2" t="str">
        <f>_xlfn.CONCAT(I108,A108,", '",TRIM(D108),"'")</f>
        <v>EXECUTE [dbo].[PG_CI_ARCUSFIL_PROGRAM]  0, 0, 19, 'D471'</v>
      </c>
      <c r="K108" t="s">
        <v>361</v>
      </c>
      <c r="L108" s="10" t="s">
        <v>362</v>
      </c>
      <c r="M108" s="2" t="str">
        <f t="shared" si="7"/>
        <v>EXECUTE [dbo].[PG_CI_ARCUSFIL_PROGRAM_MODEL]  0, 0, 36, 'PL4', 'D471 SEL 2012'</v>
      </c>
    </row>
    <row r="109" spans="1:13" x14ac:dyDescent="0.2">
      <c r="A109" s="1">
        <v>19</v>
      </c>
      <c r="B109" s="1" t="s">
        <v>24</v>
      </c>
      <c r="D109" s="1" t="s">
        <v>345</v>
      </c>
      <c r="E109" s="1">
        <v>36</v>
      </c>
      <c r="F109" s="1" t="s">
        <v>86</v>
      </c>
      <c r="G109" t="s">
        <v>87</v>
      </c>
      <c r="I109" s="2"/>
      <c r="J109" s="2"/>
      <c r="K109" t="s">
        <v>361</v>
      </c>
      <c r="L109" s="10" t="s">
        <v>362</v>
      </c>
      <c r="M109" s="2" t="str">
        <f t="shared" si="7"/>
        <v>EXECUTE [dbo].[PG_CI_ARCUSFIL_PROGRAM_MODEL]  0, 0, 36, 'PL5', 'D471 LTD 2012'</v>
      </c>
    </row>
    <row r="110" spans="1:13" x14ac:dyDescent="0.2">
      <c r="A110" s="1">
        <v>19</v>
      </c>
      <c r="B110" s="1" t="s">
        <v>24</v>
      </c>
      <c r="D110" s="1" t="s">
        <v>345</v>
      </c>
      <c r="E110" s="1">
        <v>36</v>
      </c>
      <c r="F110" s="1" t="s">
        <v>73</v>
      </c>
      <c r="G110" t="s">
        <v>74</v>
      </c>
      <c r="I110" s="2"/>
      <c r="J110" s="2"/>
      <c r="K110" t="s">
        <v>361</v>
      </c>
      <c r="L110" s="10" t="s">
        <v>362</v>
      </c>
      <c r="M110" s="2" t="str">
        <f t="shared" si="7"/>
        <v>EXECUTE [dbo].[PG_CI_ARCUSFIL_PROGRAM_MODEL]  0, 0, 36, 'PLC', 'D471 LTD PLATINIUM'</v>
      </c>
    </row>
    <row r="111" spans="1:13" x14ac:dyDescent="0.2">
      <c r="A111" s="1">
        <v>19</v>
      </c>
      <c r="B111" s="1" t="s">
        <v>24</v>
      </c>
      <c r="D111" s="1" t="s">
        <v>345</v>
      </c>
      <c r="E111" s="1">
        <v>36</v>
      </c>
      <c r="F111" s="1" t="s">
        <v>71</v>
      </c>
      <c r="G111" t="s">
        <v>72</v>
      </c>
      <c r="I111" s="2"/>
      <c r="J111" s="2"/>
      <c r="K111" t="s">
        <v>361</v>
      </c>
      <c r="L111" s="10" t="s">
        <v>362</v>
      </c>
      <c r="M111" s="2" t="str">
        <f t="shared" si="7"/>
        <v>EXECUTE [dbo].[PG_CI_ARCUSFIL_PROGRAM_MODEL]  0, 0, 36, 'PLD', 'D471 SEL 2013'</v>
      </c>
    </row>
    <row r="112" spans="1:13" x14ac:dyDescent="0.2">
      <c r="A112" s="1">
        <v>19</v>
      </c>
      <c r="B112" s="1" t="s">
        <v>24</v>
      </c>
      <c r="D112" s="1" t="s">
        <v>345</v>
      </c>
      <c r="E112" s="1">
        <v>36</v>
      </c>
      <c r="F112" s="1" t="s">
        <v>69</v>
      </c>
      <c r="G112" t="s">
        <v>70</v>
      </c>
      <c r="I112" s="2"/>
      <c r="J112" s="2"/>
      <c r="K112" t="s">
        <v>361</v>
      </c>
      <c r="L112" s="10" t="s">
        <v>362</v>
      </c>
      <c r="M112" s="2" t="str">
        <f t="shared" si="7"/>
        <v>EXECUTE [dbo].[PG_CI_ARCUSFIL_PROGRAM_MODEL]  0, 0, 36, 'PLE', 'D471 LTD 2013'</v>
      </c>
    </row>
    <row r="113" spans="1:13" x14ac:dyDescent="0.2">
      <c r="A113" s="1">
        <v>19</v>
      </c>
      <c r="B113" s="1" t="s">
        <v>24</v>
      </c>
      <c r="D113" s="1" t="s">
        <v>345</v>
      </c>
      <c r="E113" s="1">
        <v>36</v>
      </c>
      <c r="F113" s="1" t="s">
        <v>67</v>
      </c>
      <c r="G113" t="s">
        <v>68</v>
      </c>
      <c r="I113" s="2"/>
      <c r="J113" s="2"/>
      <c r="K113" t="s">
        <v>361</v>
      </c>
      <c r="L113" s="10" t="s">
        <v>362</v>
      </c>
      <c r="M113" s="2" t="str">
        <f t="shared" si="7"/>
        <v>EXECUTE [dbo].[PG_CI_ARCUSFIL_PROGRAM_MODEL]  0, 0, 36, 'PLS', 'D471 2016 SALERNO'</v>
      </c>
    </row>
    <row r="114" spans="1:13" x14ac:dyDescent="0.2">
      <c r="A114" s="1">
        <v>19</v>
      </c>
      <c r="B114" s="1" t="s">
        <v>24</v>
      </c>
      <c r="C114" s="1" t="s">
        <v>354</v>
      </c>
      <c r="D114" s="1" t="s">
        <v>330</v>
      </c>
      <c r="E114" s="1">
        <v>37</v>
      </c>
      <c r="F114" s="1" t="s">
        <v>100</v>
      </c>
      <c r="G114" t="s">
        <v>101</v>
      </c>
      <c r="I114" s="2" t="s">
        <v>323</v>
      </c>
      <c r="J114" s="2" t="str">
        <f t="shared" ref="J114:J115" si="9">_xlfn.CONCAT(I114,A114,", '",TRIM(D114),"'")</f>
        <v>EXECUTE [dbo].[PG_CI_ARCUSFIL_PROGRAM]  0, 0, 19, 'GMT'</v>
      </c>
      <c r="K114" t="s">
        <v>361</v>
      </c>
      <c r="L114" s="10" t="s">
        <v>362</v>
      </c>
      <c r="M114" s="2" t="str">
        <f t="shared" si="7"/>
        <v>EXECUTE [dbo].[PG_CI_ARCUSFIL_PROGRAM_MODEL]  0, 0, 37, '3SU', 'GMT 315 SUV'</v>
      </c>
    </row>
    <row r="115" spans="1:13" x14ac:dyDescent="0.2">
      <c r="A115" s="1">
        <v>19</v>
      </c>
      <c r="B115" s="1" t="s">
        <v>24</v>
      </c>
      <c r="C115" s="1" t="s">
        <v>354</v>
      </c>
      <c r="D115" s="1" t="s">
        <v>346</v>
      </c>
      <c r="E115" s="1">
        <v>38</v>
      </c>
      <c r="F115" s="1" t="s">
        <v>63</v>
      </c>
      <c r="G115" t="s">
        <v>64</v>
      </c>
      <c r="I115" s="2" t="s">
        <v>323</v>
      </c>
      <c r="J115" s="2" t="str">
        <f t="shared" si="9"/>
        <v>EXECUTE [dbo].[PG_CI_ARCUSFIL_PROGRAM]  0, 0, 19, 'RU'</v>
      </c>
      <c r="K115" t="s">
        <v>361</v>
      </c>
      <c r="L115" s="10" t="s">
        <v>362</v>
      </c>
      <c r="M115" s="2" t="str">
        <f t="shared" si="7"/>
        <v>EXECUTE [dbo].[PG_CI_ARCUSFIL_PROGRAM_MODEL]  0, 0, 38, 'RDL', '2021 RU DL PINNACLE'</v>
      </c>
    </row>
    <row r="116" spans="1:13" x14ac:dyDescent="0.2">
      <c r="A116" s="1">
        <v>19</v>
      </c>
      <c r="B116" s="1" t="s">
        <v>24</v>
      </c>
      <c r="D116" s="1" t="s">
        <v>346</v>
      </c>
      <c r="E116" s="1">
        <v>38</v>
      </c>
      <c r="F116" s="1" t="s">
        <v>61</v>
      </c>
      <c r="G116" t="s">
        <v>62</v>
      </c>
      <c r="I116" s="2"/>
      <c r="J116" s="2"/>
      <c r="K116" t="s">
        <v>361</v>
      </c>
      <c r="L116" s="10" t="s">
        <v>362</v>
      </c>
      <c r="M116" s="2" t="str">
        <f t="shared" si="7"/>
        <v>EXECUTE [dbo].[PG_CI_ARCUSFIL_PROGRAM_MODEL]  0, 0, 38, 'RUA', '2016 RU OPCION AL'</v>
      </c>
    </row>
    <row r="117" spans="1:13" x14ac:dyDescent="0.2">
      <c r="A117" s="1">
        <v>19</v>
      </c>
      <c r="B117" s="1" t="s">
        <v>24</v>
      </c>
      <c r="D117" s="1" t="s">
        <v>346</v>
      </c>
      <c r="E117" s="1">
        <v>38</v>
      </c>
      <c r="F117" s="1" t="s">
        <v>59</v>
      </c>
      <c r="G117" t="s">
        <v>60</v>
      </c>
      <c r="I117" s="2"/>
      <c r="J117" s="2"/>
      <c r="K117" t="s">
        <v>361</v>
      </c>
      <c r="L117" s="10" t="s">
        <v>362</v>
      </c>
      <c r="M117" s="2" t="str">
        <f t="shared" si="7"/>
        <v>EXECUTE [dbo].[PG_CI_ARCUSFIL_PROGRAM_MODEL]  0, 0, 38, 'RUE', '2016 RU OPCION EL'</v>
      </c>
    </row>
    <row r="118" spans="1:13" x14ac:dyDescent="0.2">
      <c r="A118" s="1">
        <v>19</v>
      </c>
      <c r="B118" s="1" t="s">
        <v>24</v>
      </c>
      <c r="D118" s="1" t="s">
        <v>346</v>
      </c>
      <c r="E118" s="1">
        <v>38</v>
      </c>
      <c r="F118" s="1" t="s">
        <v>57</v>
      </c>
      <c r="G118" t="s">
        <v>58</v>
      </c>
      <c r="I118" s="2"/>
      <c r="J118" s="2"/>
      <c r="K118" t="s">
        <v>361</v>
      </c>
      <c r="L118" s="10" t="s">
        <v>362</v>
      </c>
      <c r="M118" s="2" t="str">
        <f t="shared" si="7"/>
        <v>EXECUTE [dbo].[PG_CI_ARCUSFIL_PROGRAM_MODEL]  0, 0, 38, 'RUM', '2016 RU OPCION ML'</v>
      </c>
    </row>
    <row r="119" spans="1:13" x14ac:dyDescent="0.2">
      <c r="A119" s="1">
        <v>19</v>
      </c>
      <c r="B119" s="1" t="s">
        <v>24</v>
      </c>
      <c r="C119" s="1" t="s">
        <v>354</v>
      </c>
      <c r="D119" s="1" t="s">
        <v>331</v>
      </c>
      <c r="E119" s="1">
        <v>39</v>
      </c>
      <c r="F119" s="1">
        <v>387</v>
      </c>
      <c r="G119" t="s">
        <v>102</v>
      </c>
      <c r="I119" s="2" t="s">
        <v>323</v>
      </c>
      <c r="J119" s="2" t="str">
        <f>_xlfn.CONCAT(I119,A119,", '",TRIM(D119),"'")</f>
        <v>EXECUTE [dbo].[PG_CI_ARCUSFIL_PROGRAM]  0, 0, 19, 'U387'</v>
      </c>
      <c r="K119" t="s">
        <v>361</v>
      </c>
      <c r="L119" s="10" t="s">
        <v>362</v>
      </c>
      <c r="M119" s="2" t="str">
        <f t="shared" si="7"/>
        <v>EXECUTE [dbo].[PG_CI_ARCUSFIL_PROGRAM_MODEL]  0, 0, 39, '387', 'U387 FORD PREMIUM'</v>
      </c>
    </row>
    <row r="120" spans="1:13" x14ac:dyDescent="0.2">
      <c r="A120" s="1">
        <v>19</v>
      </c>
      <c r="B120" s="1" t="s">
        <v>24</v>
      </c>
      <c r="D120" s="1" t="s">
        <v>331</v>
      </c>
      <c r="E120" s="1">
        <v>39</v>
      </c>
      <c r="F120" s="1" t="s">
        <v>98</v>
      </c>
      <c r="G120" t="s">
        <v>99</v>
      </c>
      <c r="I120" s="2"/>
      <c r="J120" s="2"/>
      <c r="K120" t="s">
        <v>361</v>
      </c>
      <c r="L120" s="10" t="s">
        <v>362</v>
      </c>
      <c r="M120" s="2" t="str">
        <f t="shared" si="7"/>
        <v>EXECUTE [dbo].[PG_CI_ARCUSFIL_PROGRAM_MODEL]  0, 0, 39, 'FCE', 'U387 FORD CUTTING EDGE'</v>
      </c>
    </row>
    <row r="121" spans="1:13" x14ac:dyDescent="0.2">
      <c r="A121" s="1">
        <v>19</v>
      </c>
      <c r="B121" s="1" t="s">
        <v>24</v>
      </c>
      <c r="D121" s="1" t="s">
        <v>331</v>
      </c>
      <c r="E121" s="1">
        <v>39</v>
      </c>
      <c r="F121" s="1" t="s">
        <v>96</v>
      </c>
      <c r="G121" t="s">
        <v>97</v>
      </c>
      <c r="I121" s="2"/>
      <c r="J121" s="2"/>
      <c r="K121" t="s">
        <v>361</v>
      </c>
      <c r="L121" s="10" t="s">
        <v>362</v>
      </c>
      <c r="M121" s="2" t="str">
        <f t="shared" si="7"/>
        <v>EXECUTE [dbo].[PG_CI_ARCUSFIL_PROGRAM_MODEL]  0, 0, 39, 'GRE', 'U387 FORD GREY'</v>
      </c>
    </row>
    <row r="122" spans="1:13" x14ac:dyDescent="0.2">
      <c r="A122" s="1">
        <v>19</v>
      </c>
      <c r="B122" s="1" t="s">
        <v>24</v>
      </c>
      <c r="D122" s="1" t="s">
        <v>331</v>
      </c>
      <c r="E122" s="1">
        <v>39</v>
      </c>
      <c r="F122" s="1" t="s">
        <v>92</v>
      </c>
      <c r="G122" t="s">
        <v>93</v>
      </c>
      <c r="I122" s="2"/>
      <c r="J122" s="2"/>
      <c r="K122" t="s">
        <v>361</v>
      </c>
      <c r="L122" s="10" t="s">
        <v>362</v>
      </c>
      <c r="M122" s="2" t="str">
        <f t="shared" si="7"/>
        <v>EXECUTE [dbo].[PG_CI_ARCUSFIL_PROGRAM_MODEL]  0, 0, 39, 'PL2', 'U387 FORD SEL 2011 PLM'</v>
      </c>
    </row>
    <row r="123" spans="1:13" x14ac:dyDescent="0.2">
      <c r="A123" s="1">
        <v>19</v>
      </c>
      <c r="B123" s="1" t="s">
        <v>24</v>
      </c>
      <c r="D123" s="1" t="s">
        <v>331</v>
      </c>
      <c r="E123" s="1">
        <v>39</v>
      </c>
      <c r="F123" s="1" t="s">
        <v>81</v>
      </c>
      <c r="G123" t="s">
        <v>83</v>
      </c>
      <c r="I123" s="2"/>
      <c r="J123" s="2"/>
      <c r="K123" t="s">
        <v>361</v>
      </c>
      <c r="L123" s="10" t="s">
        <v>362</v>
      </c>
      <c r="M123" s="2" t="str">
        <f t="shared" si="7"/>
        <v>EXECUTE [dbo].[PG_CI_ARCUSFIL_PROGRAM_MODEL]  0, 0, 39, 'PL7', 'U387 FORD SEL 2012'</v>
      </c>
    </row>
    <row r="124" spans="1:13" x14ac:dyDescent="0.2">
      <c r="A124" s="1">
        <v>19</v>
      </c>
      <c r="B124" s="1" t="s">
        <v>24</v>
      </c>
      <c r="D124" s="1" t="s">
        <v>331</v>
      </c>
      <c r="E124" s="1">
        <v>39</v>
      </c>
      <c r="F124" s="1" t="s">
        <v>79</v>
      </c>
      <c r="G124" t="s">
        <v>80</v>
      </c>
      <c r="I124" s="2"/>
      <c r="J124" s="2"/>
      <c r="K124" t="s">
        <v>361</v>
      </c>
      <c r="L124" s="10" t="s">
        <v>362</v>
      </c>
      <c r="M124" s="2" t="str">
        <f t="shared" si="7"/>
        <v>EXECUTE [dbo].[PG_CI_ARCUSFIL_PROGRAM_MODEL]  0, 0, 39, 'PL8', 'U387 FORD SPORT 2012'</v>
      </c>
    </row>
    <row r="125" spans="1:13" x14ac:dyDescent="0.2">
      <c r="A125" s="1">
        <v>19</v>
      </c>
      <c r="B125" s="1" t="s">
        <v>24</v>
      </c>
      <c r="D125" s="1" t="s">
        <v>331</v>
      </c>
      <c r="E125" s="1">
        <v>39</v>
      </c>
      <c r="F125" s="1" t="s">
        <v>77</v>
      </c>
      <c r="G125" t="s">
        <v>78</v>
      </c>
      <c r="I125" s="2"/>
      <c r="J125" s="2"/>
      <c r="K125" t="s">
        <v>361</v>
      </c>
      <c r="L125" s="10" t="s">
        <v>362</v>
      </c>
      <c r="M125" s="2" t="str">
        <f t="shared" si="7"/>
        <v>EXECUTE [dbo].[PG_CI_ARCUSFIL_PROGRAM_MODEL]  0, 0, 39, 'PL9', 'U387 FORD SPORT 2011'</v>
      </c>
    </row>
    <row r="126" spans="1:13" x14ac:dyDescent="0.2">
      <c r="A126" s="1">
        <v>19</v>
      </c>
      <c r="B126" s="1" t="s">
        <v>24</v>
      </c>
      <c r="D126" s="1" t="s">
        <v>331</v>
      </c>
      <c r="E126" s="1">
        <v>39</v>
      </c>
      <c r="F126" s="1" t="s">
        <v>65</v>
      </c>
      <c r="G126" t="s">
        <v>66</v>
      </c>
      <c r="I126" s="2"/>
      <c r="J126" s="2"/>
      <c r="K126" t="s">
        <v>361</v>
      </c>
      <c r="L126" s="10" t="s">
        <v>362</v>
      </c>
      <c r="M126" s="2" t="str">
        <f t="shared" si="7"/>
        <v>EXECUTE [dbo].[PG_CI_ARCUSFIL_PROGRAM_MODEL]  0, 0, 39, 'PVP', 'U387 FORD VPP'</v>
      </c>
    </row>
    <row r="127" spans="1:13" x14ac:dyDescent="0.2">
      <c r="A127" s="1">
        <v>19</v>
      </c>
      <c r="B127" s="1" t="s">
        <v>24</v>
      </c>
      <c r="D127" s="1" t="s">
        <v>331</v>
      </c>
      <c r="E127" s="1">
        <v>39</v>
      </c>
      <c r="F127" s="1" t="s">
        <v>55</v>
      </c>
      <c r="G127" t="s">
        <v>56</v>
      </c>
      <c r="I127" s="2"/>
      <c r="J127" s="2"/>
      <c r="K127" t="s">
        <v>361</v>
      </c>
      <c r="L127" s="10" t="s">
        <v>362</v>
      </c>
      <c r="M127" s="2" t="str">
        <f t="shared" si="7"/>
        <v>EXECUTE [dbo].[PG_CI_ARCUSFIL_PROGRAM_MODEL]  0, 0, 39, 'SL3', '2013 U387 SEL'</v>
      </c>
    </row>
    <row r="128" spans="1:13" x14ac:dyDescent="0.2">
      <c r="A128" s="1">
        <v>19</v>
      </c>
      <c r="B128" s="1" t="s">
        <v>24</v>
      </c>
      <c r="C128" s="1" t="s">
        <v>354</v>
      </c>
      <c r="D128" s="1" t="s">
        <v>329</v>
      </c>
      <c r="E128" s="1">
        <v>40</v>
      </c>
      <c r="F128" s="1" t="s">
        <v>94</v>
      </c>
      <c r="G128" t="s">
        <v>95</v>
      </c>
      <c r="I128" s="2" t="s">
        <v>323</v>
      </c>
      <c r="J128" s="2" t="str">
        <f>_xlfn.CONCAT(I128,A128,", '",TRIM(D128),"'")</f>
        <v>EXECUTE [dbo].[PG_CI_ARCUSFIL_PROGRAM]  0, 0, 19, 'U388'</v>
      </c>
      <c r="K128" t="s">
        <v>361</v>
      </c>
      <c r="L128" s="10" t="s">
        <v>362</v>
      </c>
      <c r="M128" s="2" t="str">
        <f t="shared" si="7"/>
        <v>EXECUTE [dbo].[PG_CI_ARCUSFIL_PROGRAM_MODEL]  0, 0, 40, 'L88', 'U388 LINCOLN LIMITED'</v>
      </c>
    </row>
    <row r="129" spans="1:13" x14ac:dyDescent="0.2">
      <c r="A129" s="1">
        <v>19</v>
      </c>
      <c r="B129" s="1" t="s">
        <v>24</v>
      </c>
      <c r="D129" s="1" t="s">
        <v>329</v>
      </c>
      <c r="E129" s="1">
        <v>40</v>
      </c>
      <c r="F129" s="1" t="s">
        <v>90</v>
      </c>
      <c r="G129" t="s">
        <v>91</v>
      </c>
      <c r="I129" s="2"/>
      <c r="J129" s="2"/>
      <c r="K129" t="s">
        <v>361</v>
      </c>
      <c r="L129" s="10" t="s">
        <v>362</v>
      </c>
      <c r="M129" s="2" t="str">
        <f t="shared" si="7"/>
        <v>EXECUTE [dbo].[PG_CI_ARCUSFIL_PROGRAM_MODEL]  0, 0, 40, 'PL3', 'U388 LINCOLN BASE 2012'</v>
      </c>
    </row>
    <row r="130" spans="1:13" x14ac:dyDescent="0.2">
      <c r="A130" s="1">
        <v>19</v>
      </c>
      <c r="B130" s="1" t="s">
        <v>24</v>
      </c>
      <c r="D130" s="1" t="s">
        <v>329</v>
      </c>
      <c r="E130" s="1">
        <v>40</v>
      </c>
      <c r="F130" s="1" t="s">
        <v>84</v>
      </c>
      <c r="G130" t="s">
        <v>85</v>
      </c>
      <c r="I130" s="2"/>
      <c r="J130" s="2"/>
      <c r="K130" t="s">
        <v>361</v>
      </c>
      <c r="L130" s="10" t="s">
        <v>362</v>
      </c>
      <c r="M130" s="2" t="str">
        <f t="shared" si="7"/>
        <v>EXECUTE [dbo].[PG_CI_ARCUSFIL_PROGRAM_MODEL]  0, 0, 40, 'PL6', 'U388 LINCOLN ULTIMATE'</v>
      </c>
    </row>
    <row r="131" spans="1:13" x14ac:dyDescent="0.2">
      <c r="A131" s="1">
        <v>19</v>
      </c>
      <c r="B131" s="1" t="s">
        <v>24</v>
      </c>
      <c r="D131" s="1" t="s">
        <v>329</v>
      </c>
      <c r="E131" s="1">
        <v>40</v>
      </c>
      <c r="F131" s="1" t="s">
        <v>75</v>
      </c>
      <c r="G131" t="s">
        <v>76</v>
      </c>
      <c r="I131" s="2"/>
      <c r="J131" s="2"/>
      <c r="K131" t="s">
        <v>361</v>
      </c>
      <c r="L131" s="10" t="s">
        <v>362</v>
      </c>
      <c r="M131" s="2" t="str">
        <f t="shared" ref="M131:M156" si="10">_xlfn.CONCAT(L131,E131,", '",TRIM(F131),"', '",TRIM(G131),"'")</f>
        <v>EXECUTE [dbo].[PG_CI_ARCUSFIL_PROGRAM_MODEL]  0, 0, 40, 'PLB', 'U388 HEADREST 2012'</v>
      </c>
    </row>
    <row r="132" spans="1:13" x14ac:dyDescent="0.2">
      <c r="A132" s="1">
        <v>19</v>
      </c>
      <c r="B132" s="1" t="s">
        <v>24</v>
      </c>
      <c r="C132" s="1" t="s">
        <v>354</v>
      </c>
      <c r="D132" s="1" t="s">
        <v>347</v>
      </c>
      <c r="E132" s="1">
        <v>41</v>
      </c>
      <c r="F132" s="1" t="s">
        <v>53</v>
      </c>
      <c r="G132" t="s">
        <v>54</v>
      </c>
      <c r="I132" s="2" t="s">
        <v>323</v>
      </c>
      <c r="J132" s="2" t="str">
        <f t="shared" ref="J132:J133" si="11">_xlfn.CONCAT(I132,A132,", '",TRIM(D132),"'")</f>
        <v>EXECUTE [dbo].[PG_CI_ARCUSFIL_PROGRAM]  0, 0, 19, 'U540'</v>
      </c>
      <c r="K132" t="s">
        <v>361</v>
      </c>
      <c r="L132" s="10" t="s">
        <v>362</v>
      </c>
      <c r="M132" s="2" t="str">
        <f t="shared" si="10"/>
        <v>EXECUTE [dbo].[PG_CI_ARCUSFIL_PROGRAM_MODEL]  0, 0, 41, 'U54', 'U540 VINYL LAMINATION'</v>
      </c>
    </row>
    <row r="133" spans="1:13" x14ac:dyDescent="0.2">
      <c r="A133" s="1">
        <v>19</v>
      </c>
      <c r="B133" s="1" t="s">
        <v>24</v>
      </c>
      <c r="C133" s="1" t="s">
        <v>354</v>
      </c>
      <c r="D133" s="1" t="s">
        <v>348</v>
      </c>
      <c r="E133" s="1">
        <v>42</v>
      </c>
      <c r="F133" s="1" t="s">
        <v>49</v>
      </c>
      <c r="G133" t="s">
        <v>50</v>
      </c>
      <c r="I133" s="2" t="s">
        <v>323</v>
      </c>
      <c r="J133" s="2" t="str">
        <f t="shared" si="11"/>
        <v>EXECUTE [dbo].[PG_CI_ARCUSFIL_PROGRAM]  0, 0, 19, 'WD'</v>
      </c>
      <c r="K133" t="s">
        <v>361</v>
      </c>
      <c r="L133" s="10" t="s">
        <v>362</v>
      </c>
      <c r="M133" s="2" t="str">
        <f t="shared" si="10"/>
        <v>EXECUTE [dbo].[PG_CI_ARCUSFIL_PROGRAM_MODEL]  0, 0, 42, 'WD2', '2017 WD ML DOS TONOS'</v>
      </c>
    </row>
    <row r="134" spans="1:13" x14ac:dyDescent="0.2">
      <c r="A134" s="1">
        <v>19</v>
      </c>
      <c r="B134" s="1" t="s">
        <v>24</v>
      </c>
      <c r="D134" s="1" t="s">
        <v>348</v>
      </c>
      <c r="E134" s="1">
        <v>42</v>
      </c>
      <c r="F134" s="1" t="s">
        <v>47</v>
      </c>
      <c r="G134" t="s">
        <v>48</v>
      </c>
      <c r="I134" s="2"/>
      <c r="J134" s="2"/>
      <c r="K134" t="s">
        <v>361</v>
      </c>
      <c r="L134" s="10" t="s">
        <v>362</v>
      </c>
      <c r="M134" s="2" t="str">
        <f t="shared" si="10"/>
        <v>EXECUTE [dbo].[PG_CI_ARCUSFIL_PROGRAM_MODEL]  0, 0, 42, 'WDM', '2017 WD ML'</v>
      </c>
    </row>
    <row r="135" spans="1:13" x14ac:dyDescent="0.2">
      <c r="A135" s="1">
        <v>19</v>
      </c>
      <c r="B135" s="1" t="s">
        <v>24</v>
      </c>
      <c r="D135" s="1" t="s">
        <v>348</v>
      </c>
      <c r="E135" s="1">
        <v>42</v>
      </c>
      <c r="F135" s="1" t="s">
        <v>28</v>
      </c>
      <c r="G135" t="s">
        <v>29</v>
      </c>
      <c r="I135" s="2"/>
      <c r="J135" s="2"/>
      <c r="K135" t="s">
        <v>361</v>
      </c>
      <c r="L135" s="10" t="s">
        <v>362</v>
      </c>
      <c r="M135" s="2" t="str">
        <f t="shared" si="10"/>
        <v>EXECUTE [dbo].[PG_CI_ARCUSFIL_PROGRAM_MODEL]  0, 0, 42, 'WPL', '2018 WD PL'</v>
      </c>
    </row>
    <row r="136" spans="1:13" x14ac:dyDescent="0.2">
      <c r="A136" s="1">
        <v>19</v>
      </c>
      <c r="B136" s="1" t="s">
        <v>24</v>
      </c>
      <c r="C136" s="1" t="s">
        <v>354</v>
      </c>
      <c r="D136" s="1" t="s">
        <v>326</v>
      </c>
      <c r="E136" s="1">
        <v>43</v>
      </c>
      <c r="F136" s="1" t="s">
        <v>51</v>
      </c>
      <c r="G136" t="s">
        <v>52</v>
      </c>
      <c r="I136" s="2" t="s">
        <v>323</v>
      </c>
      <c r="J136" s="2" t="str">
        <f>_xlfn.CONCAT(I136,A136,", '",TRIM(D136),"'")</f>
        <v>EXECUTE [dbo].[PG_CI_ARCUSFIL_PROGRAM]  0, 0, 19, 'WK'</v>
      </c>
      <c r="K136" t="s">
        <v>361</v>
      </c>
      <c r="L136" s="10" t="s">
        <v>362</v>
      </c>
      <c r="M136" s="2" t="str">
        <f t="shared" si="10"/>
        <v>EXECUTE [dbo].[PG_CI_ARCUSFIL_PROGRAM_MODEL]  0, 0, 43, 'WBL', '2017 WK BL'</v>
      </c>
    </row>
    <row r="137" spans="1:13" x14ac:dyDescent="0.2">
      <c r="A137" s="1">
        <v>19</v>
      </c>
      <c r="B137" s="1" t="s">
        <v>24</v>
      </c>
      <c r="D137" s="1" t="s">
        <v>326</v>
      </c>
      <c r="E137" s="1">
        <v>43</v>
      </c>
      <c r="F137" s="1" t="s">
        <v>45</v>
      </c>
      <c r="G137" t="s">
        <v>46</v>
      </c>
      <c r="I137" s="2"/>
      <c r="J137" s="2"/>
      <c r="K137" t="s">
        <v>361</v>
      </c>
      <c r="L137" s="10" t="s">
        <v>362</v>
      </c>
      <c r="M137" s="2" t="str">
        <f t="shared" si="10"/>
        <v>EXECUTE [dbo].[PG_CI_ARCUSFIL_PROGRAM_MODEL]  0, 0, 43, 'WEL', '2017 WK-EL RESERVE'</v>
      </c>
    </row>
    <row r="138" spans="1:13" x14ac:dyDescent="0.2">
      <c r="A138" s="1">
        <v>19</v>
      </c>
      <c r="B138" s="1" t="s">
        <v>24</v>
      </c>
      <c r="D138" s="1" t="s">
        <v>326</v>
      </c>
      <c r="E138" s="1">
        <v>43</v>
      </c>
      <c r="F138" s="1" t="s">
        <v>43</v>
      </c>
      <c r="G138" t="s">
        <v>44</v>
      </c>
      <c r="I138" s="2"/>
      <c r="J138" s="2"/>
      <c r="K138" t="s">
        <v>361</v>
      </c>
      <c r="L138" s="10" t="s">
        <v>362</v>
      </c>
      <c r="M138" s="2" t="str">
        <f t="shared" si="10"/>
        <v>EXECUTE [dbo].[PG_CI_ARCUSFIL_PROGRAM_MODEL]  0, 0, 43, 'WKG', '2014 WK JEEP GL/DL'</v>
      </c>
    </row>
    <row r="139" spans="1:13" x14ac:dyDescent="0.2">
      <c r="A139" s="1">
        <v>19</v>
      </c>
      <c r="B139" s="1" t="s">
        <v>24</v>
      </c>
      <c r="D139" s="1" t="s">
        <v>326</v>
      </c>
      <c r="E139" s="1">
        <v>43</v>
      </c>
      <c r="F139" s="1" t="s">
        <v>41</v>
      </c>
      <c r="G139" t="s">
        <v>42</v>
      </c>
      <c r="I139" s="2"/>
      <c r="J139" s="2"/>
      <c r="K139" t="s">
        <v>361</v>
      </c>
      <c r="L139" s="10" t="s">
        <v>362</v>
      </c>
      <c r="M139" s="2" t="str">
        <f t="shared" si="10"/>
        <v>EXECUTE [dbo].[PG_CI_ARCUSFIL_PROGRAM_MODEL]  0, 0, 43, 'WKJ', '2017 WK CJ'</v>
      </c>
    </row>
    <row r="140" spans="1:13" x14ac:dyDescent="0.2">
      <c r="A140" s="1">
        <v>19</v>
      </c>
      <c r="B140" s="1" t="s">
        <v>24</v>
      </c>
      <c r="D140" s="1" t="s">
        <v>326</v>
      </c>
      <c r="E140" s="1">
        <v>43</v>
      </c>
      <c r="F140" s="1" t="s">
        <v>39</v>
      </c>
      <c r="G140" t="s">
        <v>40</v>
      </c>
      <c r="I140" s="2"/>
      <c r="J140" s="2"/>
      <c r="K140" t="s">
        <v>361</v>
      </c>
      <c r="L140" s="10" t="s">
        <v>362</v>
      </c>
      <c r="M140" s="2" t="str">
        <f t="shared" si="10"/>
        <v>EXECUTE [dbo].[PG_CI_ARCUSFIL_PROGRAM_MODEL]  0, 0, 43, 'WKL', '2015 WK KL ALTITUDE II'</v>
      </c>
    </row>
    <row r="141" spans="1:13" x14ac:dyDescent="0.2">
      <c r="A141" s="1">
        <v>19</v>
      </c>
      <c r="B141" s="1" t="s">
        <v>24</v>
      </c>
      <c r="D141" s="1" t="s">
        <v>326</v>
      </c>
      <c r="E141" s="1">
        <v>43</v>
      </c>
      <c r="F141" s="1" t="s">
        <v>37</v>
      </c>
      <c r="G141" t="s">
        <v>38</v>
      </c>
      <c r="I141" s="2"/>
      <c r="J141" s="2"/>
      <c r="K141" t="s">
        <v>361</v>
      </c>
      <c r="L141" s="10" t="s">
        <v>362</v>
      </c>
      <c r="M141" s="2" t="str">
        <f t="shared" si="10"/>
        <v>EXECUTE [dbo].[PG_CI_ARCUSFIL_PROGRAM_MODEL]  0, 0, 43, 'WKT', '2014 WK JEEP GL/DL TWO TONES'</v>
      </c>
    </row>
    <row r="142" spans="1:13" x14ac:dyDescent="0.2">
      <c r="A142" s="1">
        <v>19</v>
      </c>
      <c r="B142" s="1" t="s">
        <v>24</v>
      </c>
      <c r="D142" s="1" t="s">
        <v>326</v>
      </c>
      <c r="E142" s="1">
        <v>43</v>
      </c>
      <c r="F142" s="1" t="s">
        <v>35</v>
      </c>
      <c r="G142" t="s">
        <v>36</v>
      </c>
      <c r="I142" s="2"/>
      <c r="J142" s="2"/>
      <c r="K142" t="s">
        <v>361</v>
      </c>
      <c r="L142" s="10" t="s">
        <v>362</v>
      </c>
      <c r="M142" s="2" t="str">
        <f t="shared" si="10"/>
        <v>EXECUTE [dbo].[PG_CI_ARCUSFIL_PROGRAM_MODEL]  0, 0, 43, 'WKU', '2014 WK JEEP UL'</v>
      </c>
    </row>
    <row r="143" spans="1:13" x14ac:dyDescent="0.2">
      <c r="A143" s="1">
        <v>19</v>
      </c>
      <c r="B143" s="1" t="s">
        <v>24</v>
      </c>
      <c r="D143" s="1" t="s">
        <v>326</v>
      </c>
      <c r="E143" s="1">
        <v>43</v>
      </c>
      <c r="F143" s="1" t="s">
        <v>34</v>
      </c>
      <c r="G143" t="s">
        <v>25</v>
      </c>
      <c r="I143" s="2"/>
      <c r="J143" s="2"/>
      <c r="K143" t="s">
        <v>361</v>
      </c>
      <c r="L143" s="10" t="s">
        <v>362</v>
      </c>
      <c r="M143" s="2" t="str">
        <f t="shared" si="10"/>
        <v>EXECUTE [dbo].[PG_CI_ARCUSFIL_PROGRAM_MODEL]  0, 0, 43, 'WKY', '2018 WK YL'</v>
      </c>
    </row>
    <row r="144" spans="1:13" x14ac:dyDescent="0.2">
      <c r="A144" s="1">
        <v>19</v>
      </c>
      <c r="B144" s="1" t="s">
        <v>24</v>
      </c>
      <c r="D144" s="1" t="s">
        <v>326</v>
      </c>
      <c r="E144" s="1">
        <v>43</v>
      </c>
      <c r="F144" s="1" t="s">
        <v>32</v>
      </c>
      <c r="G144" t="s">
        <v>33</v>
      </c>
      <c r="I144" s="2"/>
      <c r="J144" s="2"/>
      <c r="K144" t="s">
        <v>361</v>
      </c>
      <c r="L144" s="10" t="s">
        <v>362</v>
      </c>
      <c r="M144" s="2" t="str">
        <f t="shared" si="10"/>
        <v>EXECUTE [dbo].[PG_CI_ARCUSFIL_PROGRAM_MODEL]  0, 0, 43, 'WKZ', '2014 WK DZ(SRT)'</v>
      </c>
    </row>
    <row r="145" spans="1:13" x14ac:dyDescent="0.2">
      <c r="A145" s="1">
        <v>19</v>
      </c>
      <c r="B145" s="1" t="s">
        <v>24</v>
      </c>
      <c r="D145" s="1" t="s">
        <v>326</v>
      </c>
      <c r="E145" s="1">
        <v>43</v>
      </c>
      <c r="F145" s="1" t="s">
        <v>30</v>
      </c>
      <c r="G145" t="s">
        <v>31</v>
      </c>
      <c r="I145" s="2"/>
      <c r="J145" s="2"/>
      <c r="K145" t="s">
        <v>361</v>
      </c>
      <c r="L145" s="10" t="s">
        <v>362</v>
      </c>
      <c r="M145" s="2" t="str">
        <f t="shared" si="10"/>
        <v>EXECUTE [dbo].[PG_CI_ARCUSFIL_PROGRAM_MODEL]  0, 0, 43, 'WNL', '2018 WK NL'</v>
      </c>
    </row>
    <row r="146" spans="1:13" x14ac:dyDescent="0.2">
      <c r="A146" s="1">
        <v>19</v>
      </c>
      <c r="B146" s="1" t="s">
        <v>24</v>
      </c>
      <c r="D146" s="1" t="s">
        <v>326</v>
      </c>
      <c r="E146" s="1">
        <v>43</v>
      </c>
      <c r="F146" s="1" t="s">
        <v>355</v>
      </c>
      <c r="G146" t="s">
        <v>356</v>
      </c>
      <c r="I146" s="2"/>
      <c r="J146" s="2"/>
      <c r="K146" t="s">
        <v>361</v>
      </c>
      <c r="L146" s="10" t="s">
        <v>362</v>
      </c>
      <c r="M146" s="2" t="str">
        <f t="shared" si="10"/>
        <v>EXECUTE [dbo].[PG_CI_ARCUSFIL_PROGRAM_MODEL]  0, 0, 43, 'SI3', '3NEWMODELSIS'</v>
      </c>
    </row>
    <row r="147" spans="1:13" x14ac:dyDescent="0.2">
      <c r="A147" s="1">
        <v>19</v>
      </c>
      <c r="B147" s="1" t="s">
        <v>24</v>
      </c>
      <c r="D147" s="1" t="s">
        <v>326</v>
      </c>
      <c r="E147" s="1">
        <v>43</v>
      </c>
      <c r="F147" s="1" t="s">
        <v>22</v>
      </c>
      <c r="G147" t="s">
        <v>23</v>
      </c>
      <c r="I147" s="2"/>
      <c r="J147" s="2"/>
      <c r="K147" t="s">
        <v>361</v>
      </c>
      <c r="L147" s="10" t="s">
        <v>362</v>
      </c>
      <c r="M147" s="2" t="str">
        <f t="shared" si="10"/>
        <v>EXECUTE [dbo].[PG_CI_ARCUSFIL_PROGRAM_MODEL]  0, 0, 43, 'XYZ', 'WK TEST'</v>
      </c>
    </row>
    <row r="148" spans="1:13" x14ac:dyDescent="0.2">
      <c r="A148" s="1">
        <v>19</v>
      </c>
      <c r="B148" s="1" t="s">
        <v>24</v>
      </c>
      <c r="C148" s="1" t="s">
        <v>354</v>
      </c>
      <c r="D148" s="1" t="s">
        <v>327</v>
      </c>
      <c r="E148" s="1">
        <v>44</v>
      </c>
      <c r="F148" s="1" t="s">
        <v>26</v>
      </c>
      <c r="G148" t="s">
        <v>27</v>
      </c>
      <c r="I148" s="2" t="s">
        <v>323</v>
      </c>
      <c r="J148" s="2" t="str">
        <f t="shared" ref="J148:J153" si="12">_xlfn.CONCAT(I148,A148,", '",TRIM(D148),"'")</f>
        <v>EXECUTE [dbo].[PG_CI_ARCUSFIL_PROGRAM]  0, 0, 19, 'WS'</v>
      </c>
      <c r="K148" t="s">
        <v>361</v>
      </c>
      <c r="L148" s="10" t="s">
        <v>362</v>
      </c>
      <c r="M148" s="2" t="str">
        <f t="shared" si="10"/>
        <v>EXECUTE [dbo].[PG_CI_ARCUSFIL_PROGRAM_MODEL]  0, 0, 44, 'WSL', '2019 WS JEEP AL'</v>
      </c>
    </row>
    <row r="149" spans="1:13" x14ac:dyDescent="0.2">
      <c r="A149" s="1">
        <v>41</v>
      </c>
      <c r="B149" s="1" t="s">
        <v>21</v>
      </c>
      <c r="C149" s="1" t="s">
        <v>354</v>
      </c>
      <c r="D149" s="1" t="s">
        <v>329</v>
      </c>
      <c r="E149" s="1">
        <v>45</v>
      </c>
      <c r="F149" s="1" t="s">
        <v>19</v>
      </c>
      <c r="G149" t="s">
        <v>20</v>
      </c>
      <c r="I149" s="2" t="s">
        <v>323</v>
      </c>
      <c r="J149" s="2" t="str">
        <f t="shared" si="12"/>
        <v>EXECUTE [dbo].[PG_CI_ARCUSFIL_PROGRAM]  0, 0, 41, 'U388'</v>
      </c>
      <c r="K149" t="s">
        <v>361</v>
      </c>
      <c r="L149" s="10" t="s">
        <v>362</v>
      </c>
      <c r="M149" s="2" t="str">
        <f t="shared" si="10"/>
        <v>EXECUTE [dbo].[PG_CI_ARCUSFIL_PROGRAM_MODEL]  0, 0, 45, 'MYS', 'U388 HEADREST'</v>
      </c>
    </row>
    <row r="150" spans="1:13" x14ac:dyDescent="0.2">
      <c r="A150" s="1">
        <v>27</v>
      </c>
      <c r="B150" s="1" t="s">
        <v>18</v>
      </c>
      <c r="C150" s="1" t="s">
        <v>354</v>
      </c>
      <c r="D150" s="1" t="s">
        <v>337</v>
      </c>
      <c r="E150" s="1">
        <v>46</v>
      </c>
      <c r="F150" s="1" t="s">
        <v>16</v>
      </c>
      <c r="G150" t="s">
        <v>17</v>
      </c>
      <c r="I150" s="2" t="s">
        <v>323</v>
      </c>
      <c r="J150" s="2" t="str">
        <f t="shared" si="12"/>
        <v>EXECUTE [dbo].[PG_CI_ARCUSFIL_PROGRAM]  0, 0, 27, 'U228'</v>
      </c>
      <c r="K150" t="s">
        <v>361</v>
      </c>
      <c r="L150" s="10" t="s">
        <v>362</v>
      </c>
      <c r="M150" s="2" t="str">
        <f t="shared" si="10"/>
        <v>EXECUTE [dbo].[PG_CI_ARCUSFIL_PROGRAM_MODEL]  0, 0, 46, 'THE', 'U228 NAVIGATOR HEADREST'</v>
      </c>
    </row>
    <row r="151" spans="1:13" x14ac:dyDescent="0.2">
      <c r="A151" s="1">
        <v>36</v>
      </c>
      <c r="B151" s="1" t="s">
        <v>15</v>
      </c>
      <c r="C151" s="1" t="s">
        <v>354</v>
      </c>
      <c r="D151" s="1" t="s">
        <v>346</v>
      </c>
      <c r="E151" s="1">
        <v>47</v>
      </c>
      <c r="F151" s="1" t="s">
        <v>13</v>
      </c>
      <c r="G151" t="s">
        <v>14</v>
      </c>
      <c r="I151" s="2" t="s">
        <v>323</v>
      </c>
      <c r="J151" s="2" t="str">
        <f t="shared" si="12"/>
        <v>EXECUTE [dbo].[PG_CI_ARCUSFIL_PROGRAM]  0, 0, 36, 'RU'</v>
      </c>
      <c r="K151" t="s">
        <v>361</v>
      </c>
      <c r="L151" s="10" t="s">
        <v>362</v>
      </c>
      <c r="M151" s="2" t="str">
        <f t="shared" si="10"/>
        <v>EXECUTE [dbo].[PG_CI_ARCUSFIL_PROGRAM_MODEL]  0, 0, 47, 'RUP', '2021 RU PINNACLE'</v>
      </c>
    </row>
    <row r="152" spans="1:13" x14ac:dyDescent="0.2">
      <c r="A152" s="1">
        <v>55</v>
      </c>
      <c r="B152" s="1" t="s">
        <v>12</v>
      </c>
      <c r="C152" s="1" t="s">
        <v>354</v>
      </c>
      <c r="D152" s="1" t="s">
        <v>10</v>
      </c>
      <c r="E152" s="1">
        <v>48</v>
      </c>
      <c r="F152" s="1" t="s">
        <v>10</v>
      </c>
      <c r="G152" t="s">
        <v>11</v>
      </c>
      <c r="I152" s="2" t="s">
        <v>323</v>
      </c>
      <c r="J152" s="2" t="str">
        <f t="shared" si="12"/>
        <v>EXECUTE [dbo].[PG_CI_ARCUSFIL_PROGRAM]  0, 0, 55, 'WPI'</v>
      </c>
      <c r="K152" t="s">
        <v>361</v>
      </c>
      <c r="L152" s="10" t="s">
        <v>362</v>
      </c>
      <c r="M152" s="2" t="str">
        <f t="shared" si="10"/>
        <v>EXECUTE [dbo].[PG_CI_ARCUSFIL_PROGRAM_MODEL]  0, 0, 48, 'WPI', '2021 WPI WD CONSOLE LID'</v>
      </c>
    </row>
    <row r="153" spans="1:13" x14ac:dyDescent="0.2">
      <c r="A153" s="1">
        <v>53</v>
      </c>
      <c r="B153" s="1" t="s">
        <v>7</v>
      </c>
      <c r="C153" s="1" t="s">
        <v>354</v>
      </c>
      <c r="D153" s="1" t="s">
        <v>327</v>
      </c>
      <c r="E153" s="1">
        <v>49</v>
      </c>
      <c r="F153" s="1" t="s">
        <v>8</v>
      </c>
      <c r="G153" t="s">
        <v>9</v>
      </c>
      <c r="I153" s="2" t="s">
        <v>323</v>
      </c>
      <c r="J153" s="2" t="str">
        <f t="shared" si="12"/>
        <v>EXECUTE [dbo].[PG_CI_ARCUSFIL_PROGRAM]  0, 0, 53, 'WS'</v>
      </c>
      <c r="K153" t="s">
        <v>361</v>
      </c>
      <c r="L153" s="10" t="s">
        <v>362</v>
      </c>
      <c r="M153" s="2" t="str">
        <f t="shared" si="10"/>
        <v>EXECUTE [dbo].[PG_CI_ARCUSFIL_PROGRAM_MODEL]  0, 0, 49, 'YWD', 'WS YANGFENG DOOR PANEL'</v>
      </c>
    </row>
    <row r="154" spans="1:13" x14ac:dyDescent="0.2">
      <c r="A154" s="1">
        <v>53</v>
      </c>
      <c r="B154" s="1" t="s">
        <v>7</v>
      </c>
      <c r="C154" s="5"/>
      <c r="D154" s="1" t="s">
        <v>327</v>
      </c>
      <c r="E154" s="1">
        <v>49</v>
      </c>
      <c r="F154" s="5" t="s">
        <v>5</v>
      </c>
      <c r="G154" s="4" t="s">
        <v>6</v>
      </c>
      <c r="I154" s="2"/>
      <c r="J154" s="2"/>
      <c r="K154" t="s">
        <v>361</v>
      </c>
      <c r="L154" s="10" t="s">
        <v>362</v>
      </c>
      <c r="M154" s="2" t="str">
        <f t="shared" si="10"/>
        <v>EXECUTE [dbo].[PG_CI_ARCUSFIL_PROGRAM_MODEL]  0, 0, 49, 'YWS', '2021 WS JEEP GRAND WAGONEER'</v>
      </c>
    </row>
    <row r="155" spans="1:13" x14ac:dyDescent="0.2">
      <c r="A155" s="1">
        <v>58</v>
      </c>
      <c r="B155" s="1" t="s">
        <v>2</v>
      </c>
      <c r="C155" s="1" t="s">
        <v>354</v>
      </c>
      <c r="D155" s="1" t="s">
        <v>324</v>
      </c>
      <c r="E155" s="1">
        <v>50</v>
      </c>
      <c r="F155" s="1" t="s">
        <v>3</v>
      </c>
      <c r="G155" t="s">
        <v>4</v>
      </c>
      <c r="I155" s="2" t="s">
        <v>323</v>
      </c>
      <c r="J155" s="2" t="str">
        <f>_xlfn.CONCAT(I155,A155,", '",TRIM(D155),"'")</f>
        <v>EXECUTE [dbo].[PG_CI_ARCUSFIL_PROGRAM]  0, 0, 58, 'WL'</v>
      </c>
      <c r="K155" t="s">
        <v>361</v>
      </c>
      <c r="L155" s="10" t="s">
        <v>362</v>
      </c>
      <c r="M155" s="2" t="str">
        <f t="shared" si="10"/>
        <v>EXECUTE [dbo].[PG_CI_ARCUSFIL_PROGRAM_MODEL]  0, 0, 50, 'YC4', '2021 WL 74 JEEP GRAND CHEROKEE'</v>
      </c>
    </row>
    <row r="156" spans="1:13" x14ac:dyDescent="0.2">
      <c r="A156" s="1">
        <v>58</v>
      </c>
      <c r="B156" s="1" t="s">
        <v>2</v>
      </c>
      <c r="D156" s="1" t="s">
        <v>324</v>
      </c>
      <c r="E156" s="1">
        <v>50</v>
      </c>
      <c r="F156" s="1" t="s">
        <v>0</v>
      </c>
      <c r="G156" t="s">
        <v>1</v>
      </c>
      <c r="I156" s="2"/>
      <c r="J156" s="2"/>
      <c r="K156" t="s">
        <v>361</v>
      </c>
      <c r="L156" s="10" t="s">
        <v>362</v>
      </c>
      <c r="M156" s="2" t="str">
        <f t="shared" si="10"/>
        <v>EXECUTE [dbo].[PG_CI_ARCUSFIL_PROGRAM_MODEL]  0, 0, 50, 'YC5', '2021 WL 75 JEEP GRAND CHEROKEE'</v>
      </c>
    </row>
    <row r="157" spans="1:13" x14ac:dyDescent="0.2">
      <c r="I157" s="2"/>
      <c r="J157" s="2"/>
    </row>
  </sheetData>
  <autoFilter ref="A2:G156" xr:uid="{A6624B66-3564-4726-9042-5E67060D5D02}">
    <sortState xmlns:xlrd2="http://schemas.microsoft.com/office/spreadsheetml/2017/richdata2" ref="A3:G156">
      <sortCondition ref="B2:B15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D8FC-895B-4C1A-9DDF-6C27F4F6779F}">
  <dimension ref="F2:J52"/>
  <sheetViews>
    <sheetView topLeftCell="A8" workbookViewId="0">
      <selection activeCell="F3" sqref="F3:F52"/>
    </sheetView>
  </sheetViews>
  <sheetFormatPr baseColWidth="10" defaultRowHeight="12.75" x14ac:dyDescent="0.2"/>
  <cols>
    <col min="7" max="7" width="11.42578125" style="7"/>
    <col min="8" max="8" width="11.42578125" style="8"/>
  </cols>
  <sheetData>
    <row r="2" spans="6:10" x14ac:dyDescent="0.2">
      <c r="F2" t="s">
        <v>359</v>
      </c>
      <c r="G2" s="7" t="s">
        <v>360</v>
      </c>
    </row>
    <row r="3" spans="6:10" x14ac:dyDescent="0.2">
      <c r="F3">
        <v>1</v>
      </c>
      <c r="G3" s="7" t="s">
        <v>324</v>
      </c>
      <c r="H3" s="2" t="s">
        <v>324</v>
      </c>
      <c r="I3" s="1" t="s">
        <v>307</v>
      </c>
      <c r="J3" s="1" t="s">
        <v>354</v>
      </c>
    </row>
    <row r="4" spans="6:10" x14ac:dyDescent="0.2">
      <c r="F4">
        <v>2</v>
      </c>
      <c r="G4" s="7" t="s">
        <v>325</v>
      </c>
      <c r="H4" s="2" t="s">
        <v>325</v>
      </c>
      <c r="I4" s="1" t="s">
        <v>304</v>
      </c>
      <c r="J4" s="1" t="s">
        <v>354</v>
      </c>
    </row>
    <row r="5" spans="6:10" x14ac:dyDescent="0.2">
      <c r="F5">
        <v>3</v>
      </c>
      <c r="G5" s="7" t="s">
        <v>326</v>
      </c>
      <c r="H5" s="2" t="s">
        <v>326</v>
      </c>
      <c r="I5" s="1" t="s">
        <v>301</v>
      </c>
      <c r="J5" s="1" t="s">
        <v>354</v>
      </c>
    </row>
    <row r="6" spans="6:10" x14ac:dyDescent="0.2">
      <c r="F6">
        <v>4</v>
      </c>
      <c r="G6" s="7" t="s">
        <v>324</v>
      </c>
      <c r="H6" s="2" t="s">
        <v>324</v>
      </c>
      <c r="I6" s="1" t="s">
        <v>298</v>
      </c>
      <c r="J6" s="1" t="s">
        <v>354</v>
      </c>
    </row>
    <row r="7" spans="6:10" x14ac:dyDescent="0.2">
      <c r="F7">
        <v>5</v>
      </c>
      <c r="G7" s="7" t="s">
        <v>327</v>
      </c>
      <c r="H7" s="2" t="s">
        <v>327</v>
      </c>
      <c r="I7" s="1" t="s">
        <v>283</v>
      </c>
      <c r="J7" s="1" t="s">
        <v>354</v>
      </c>
    </row>
    <row r="8" spans="6:10" x14ac:dyDescent="0.2">
      <c r="F8">
        <v>6</v>
      </c>
      <c r="G8" s="7" t="s">
        <v>328</v>
      </c>
      <c r="H8" s="2" t="s">
        <v>328</v>
      </c>
      <c r="I8" s="1" t="s">
        <v>280</v>
      </c>
      <c r="J8" s="1" t="s">
        <v>354</v>
      </c>
    </row>
    <row r="9" spans="6:10" x14ac:dyDescent="0.2">
      <c r="F9">
        <v>7</v>
      </c>
      <c r="G9" s="7" t="s">
        <v>329</v>
      </c>
      <c r="H9" s="2" t="s">
        <v>329</v>
      </c>
      <c r="I9" s="1" t="s">
        <v>277</v>
      </c>
      <c r="J9" s="1" t="s">
        <v>354</v>
      </c>
    </row>
    <row r="10" spans="6:10" x14ac:dyDescent="0.2">
      <c r="F10">
        <v>8</v>
      </c>
      <c r="G10" s="7" t="s">
        <v>324</v>
      </c>
      <c r="H10" s="2" t="s">
        <v>324</v>
      </c>
      <c r="I10" s="1" t="s">
        <v>273</v>
      </c>
      <c r="J10" s="1" t="s">
        <v>354</v>
      </c>
    </row>
    <row r="11" spans="6:10" x14ac:dyDescent="0.2">
      <c r="F11">
        <v>9</v>
      </c>
      <c r="G11" s="7" t="s">
        <v>327</v>
      </c>
      <c r="H11" s="2" t="s">
        <v>327</v>
      </c>
      <c r="I11" s="1" t="s">
        <v>273</v>
      </c>
      <c r="J11" s="1" t="s">
        <v>354</v>
      </c>
    </row>
    <row r="12" spans="6:10" x14ac:dyDescent="0.2">
      <c r="F12">
        <v>10</v>
      </c>
      <c r="G12" s="7" t="s">
        <v>330</v>
      </c>
      <c r="H12" s="2" t="s">
        <v>330</v>
      </c>
      <c r="I12" s="1" t="s">
        <v>235</v>
      </c>
      <c r="J12" s="1" t="s">
        <v>354</v>
      </c>
    </row>
    <row r="13" spans="6:10" x14ac:dyDescent="0.2">
      <c r="F13">
        <v>11</v>
      </c>
      <c r="G13" s="7" t="s">
        <v>332</v>
      </c>
      <c r="H13" s="2" t="s">
        <v>332</v>
      </c>
      <c r="I13" s="1" t="s">
        <v>235</v>
      </c>
      <c r="J13" s="1" t="s">
        <v>354</v>
      </c>
    </row>
    <row r="14" spans="6:10" x14ac:dyDescent="0.2">
      <c r="F14">
        <v>12</v>
      </c>
      <c r="G14" s="7" t="s">
        <v>353</v>
      </c>
      <c r="H14" s="2" t="s">
        <v>353</v>
      </c>
      <c r="I14" s="1" t="s">
        <v>235</v>
      </c>
      <c r="J14" s="1" t="s">
        <v>354</v>
      </c>
    </row>
    <row r="15" spans="6:10" x14ac:dyDescent="0.2">
      <c r="F15">
        <v>13</v>
      </c>
      <c r="G15" s="7" t="s">
        <v>331</v>
      </c>
      <c r="H15" s="2" t="s">
        <v>331</v>
      </c>
      <c r="I15" s="1" t="s">
        <v>235</v>
      </c>
      <c r="J15" s="1" t="s">
        <v>354</v>
      </c>
    </row>
    <row r="16" spans="6:10" x14ac:dyDescent="0.2">
      <c r="F16">
        <v>14</v>
      </c>
      <c r="G16" s="7" t="s">
        <v>329</v>
      </c>
      <c r="H16" s="2" t="s">
        <v>329</v>
      </c>
      <c r="I16" s="1" t="s">
        <v>235</v>
      </c>
      <c r="J16" s="1" t="s">
        <v>354</v>
      </c>
    </row>
    <row r="17" spans="6:10" x14ac:dyDescent="0.2">
      <c r="F17">
        <v>15</v>
      </c>
      <c r="G17" s="7" t="s">
        <v>333</v>
      </c>
      <c r="H17" s="2" t="s">
        <v>333</v>
      </c>
      <c r="I17" s="1" t="s">
        <v>235</v>
      </c>
      <c r="J17" s="1" t="s">
        <v>354</v>
      </c>
    </row>
    <row r="18" spans="6:10" x14ac:dyDescent="0.2">
      <c r="F18">
        <v>16</v>
      </c>
      <c r="G18" s="7" t="s">
        <v>324</v>
      </c>
      <c r="H18" s="2" t="s">
        <v>324</v>
      </c>
      <c r="I18" s="1" t="s">
        <v>235</v>
      </c>
      <c r="J18" s="1" t="s">
        <v>354</v>
      </c>
    </row>
    <row r="19" spans="6:10" x14ac:dyDescent="0.2">
      <c r="F19">
        <v>17</v>
      </c>
      <c r="G19" s="7" t="s">
        <v>330</v>
      </c>
      <c r="H19" s="2" t="s">
        <v>330</v>
      </c>
      <c r="I19" s="1" t="s">
        <v>226</v>
      </c>
      <c r="J19" s="1" t="s">
        <v>354</v>
      </c>
    </row>
    <row r="20" spans="6:10" x14ac:dyDescent="0.2">
      <c r="F20">
        <v>18</v>
      </c>
      <c r="G20" s="7" t="s">
        <v>329</v>
      </c>
      <c r="H20" s="2" t="s">
        <v>329</v>
      </c>
      <c r="I20" s="1" t="s">
        <v>223</v>
      </c>
      <c r="J20" s="1" t="s">
        <v>354</v>
      </c>
    </row>
    <row r="21" spans="6:10" x14ac:dyDescent="0.2">
      <c r="F21">
        <v>19</v>
      </c>
      <c r="G21" s="7" t="s">
        <v>335</v>
      </c>
      <c r="H21" s="2" t="s">
        <v>335</v>
      </c>
      <c r="I21" s="1" t="s">
        <v>217</v>
      </c>
      <c r="J21" s="1" t="s">
        <v>354</v>
      </c>
    </row>
    <row r="22" spans="6:10" x14ac:dyDescent="0.2">
      <c r="F22">
        <v>20</v>
      </c>
      <c r="G22" s="7" t="s">
        <v>334</v>
      </c>
      <c r="H22" s="2" t="s">
        <v>334</v>
      </c>
      <c r="I22" s="1" t="s">
        <v>217</v>
      </c>
      <c r="J22" s="1" t="s">
        <v>354</v>
      </c>
    </row>
    <row r="23" spans="6:10" x14ac:dyDescent="0.2">
      <c r="F23">
        <v>21</v>
      </c>
      <c r="G23" s="7" t="s">
        <v>335</v>
      </c>
      <c r="H23" s="2" t="s">
        <v>335</v>
      </c>
      <c r="I23" s="1" t="s">
        <v>202</v>
      </c>
      <c r="J23" s="1" t="s">
        <v>354</v>
      </c>
    </row>
    <row r="24" spans="6:10" x14ac:dyDescent="0.2">
      <c r="F24">
        <v>22</v>
      </c>
      <c r="G24" s="7" t="s">
        <v>336</v>
      </c>
      <c r="H24" s="2" t="s">
        <v>336</v>
      </c>
      <c r="I24" s="1" t="s">
        <v>202</v>
      </c>
      <c r="J24" s="1" t="s">
        <v>354</v>
      </c>
    </row>
    <row r="25" spans="6:10" x14ac:dyDescent="0.2">
      <c r="F25">
        <v>23</v>
      </c>
      <c r="G25" s="7" t="s">
        <v>337</v>
      </c>
      <c r="H25" s="2" t="s">
        <v>337</v>
      </c>
      <c r="I25" s="1" t="s">
        <v>202</v>
      </c>
      <c r="J25" s="1" t="s">
        <v>354</v>
      </c>
    </row>
    <row r="26" spans="6:10" x14ac:dyDescent="0.2">
      <c r="F26">
        <v>24</v>
      </c>
      <c r="G26" s="7" t="s">
        <v>335</v>
      </c>
      <c r="H26" s="2" t="s">
        <v>335</v>
      </c>
      <c r="I26" s="1" t="s">
        <v>197</v>
      </c>
      <c r="J26" s="1" t="s">
        <v>354</v>
      </c>
    </row>
    <row r="27" spans="6:10" x14ac:dyDescent="0.2">
      <c r="F27">
        <v>25</v>
      </c>
      <c r="G27" s="7" t="s">
        <v>329</v>
      </c>
      <c r="H27" s="2" t="s">
        <v>329</v>
      </c>
      <c r="I27" s="1" t="s">
        <v>194</v>
      </c>
      <c r="J27" s="1" t="s">
        <v>354</v>
      </c>
    </row>
    <row r="28" spans="6:10" x14ac:dyDescent="0.2">
      <c r="F28">
        <v>26</v>
      </c>
      <c r="G28" s="7" t="s">
        <v>340</v>
      </c>
      <c r="H28" s="2" t="s">
        <v>340</v>
      </c>
      <c r="I28" s="1" t="s">
        <v>175</v>
      </c>
      <c r="J28" s="1" t="s">
        <v>354</v>
      </c>
    </row>
    <row r="29" spans="6:10" x14ac:dyDescent="0.2">
      <c r="F29">
        <v>27</v>
      </c>
      <c r="G29" s="7" t="s">
        <v>338</v>
      </c>
      <c r="H29" s="2" t="s">
        <v>338</v>
      </c>
      <c r="I29" s="1" t="s">
        <v>175</v>
      </c>
      <c r="J29" s="1" t="s">
        <v>354</v>
      </c>
    </row>
    <row r="30" spans="6:10" x14ac:dyDescent="0.2">
      <c r="F30">
        <v>28</v>
      </c>
      <c r="G30" s="7" t="s">
        <v>339</v>
      </c>
      <c r="H30" s="2" t="s">
        <v>339</v>
      </c>
      <c r="I30" s="1" t="s">
        <v>175</v>
      </c>
      <c r="J30" s="1" t="s">
        <v>354</v>
      </c>
    </row>
    <row r="31" spans="6:10" x14ac:dyDescent="0.2">
      <c r="F31">
        <v>29</v>
      </c>
      <c r="G31" s="7" t="s">
        <v>341</v>
      </c>
      <c r="H31" s="2" t="s">
        <v>341</v>
      </c>
      <c r="I31" s="1" t="s">
        <v>136</v>
      </c>
      <c r="J31" s="1" t="s">
        <v>354</v>
      </c>
    </row>
    <row r="32" spans="6:10" x14ac:dyDescent="0.2">
      <c r="F32">
        <v>30</v>
      </c>
      <c r="G32" s="7" t="s">
        <v>343</v>
      </c>
      <c r="H32" s="2" t="s">
        <v>343</v>
      </c>
      <c r="I32" s="1" t="s">
        <v>136</v>
      </c>
      <c r="J32" s="1" t="s">
        <v>354</v>
      </c>
    </row>
    <row r="33" spans="6:10" x14ac:dyDescent="0.2">
      <c r="F33">
        <v>31</v>
      </c>
      <c r="G33" s="7" t="s">
        <v>328</v>
      </c>
      <c r="H33" s="2" t="s">
        <v>328</v>
      </c>
      <c r="I33" s="1" t="s">
        <v>136</v>
      </c>
      <c r="J33" s="1" t="s">
        <v>354</v>
      </c>
    </row>
    <row r="34" spans="6:10" x14ac:dyDescent="0.2">
      <c r="F34">
        <v>32</v>
      </c>
      <c r="G34" s="7" t="s">
        <v>325</v>
      </c>
      <c r="H34" s="2" t="s">
        <v>325</v>
      </c>
      <c r="I34" s="1" t="s">
        <v>136</v>
      </c>
      <c r="J34" s="1" t="s">
        <v>354</v>
      </c>
    </row>
    <row r="35" spans="6:10" x14ac:dyDescent="0.2">
      <c r="F35">
        <v>33</v>
      </c>
      <c r="G35" s="7" t="s">
        <v>344</v>
      </c>
      <c r="H35" s="2" t="s">
        <v>344</v>
      </c>
      <c r="I35" s="1" t="s">
        <v>136</v>
      </c>
      <c r="J35" s="1" t="s">
        <v>354</v>
      </c>
    </row>
    <row r="36" spans="6:10" x14ac:dyDescent="0.2">
      <c r="F36">
        <v>34</v>
      </c>
      <c r="G36" s="7" t="s">
        <v>342</v>
      </c>
      <c r="H36" s="2" t="s">
        <v>342</v>
      </c>
      <c r="I36" s="1" t="s">
        <v>136</v>
      </c>
      <c r="J36" s="1" t="s">
        <v>354</v>
      </c>
    </row>
    <row r="37" spans="6:10" x14ac:dyDescent="0.2">
      <c r="F37">
        <v>35</v>
      </c>
      <c r="G37" s="7" t="s">
        <v>324</v>
      </c>
      <c r="H37" s="2" t="s">
        <v>324</v>
      </c>
      <c r="I37" s="1" t="s">
        <v>105</v>
      </c>
      <c r="J37" s="1" t="s">
        <v>354</v>
      </c>
    </row>
    <row r="38" spans="6:10" x14ac:dyDescent="0.2">
      <c r="F38">
        <v>36</v>
      </c>
      <c r="G38" s="7" t="s">
        <v>345</v>
      </c>
      <c r="H38" s="2" t="s">
        <v>345</v>
      </c>
      <c r="I38" s="1" t="s">
        <v>24</v>
      </c>
      <c r="J38" s="1" t="s">
        <v>354</v>
      </c>
    </row>
    <row r="39" spans="6:10" x14ac:dyDescent="0.2">
      <c r="F39">
        <v>37</v>
      </c>
      <c r="G39" s="7" t="s">
        <v>330</v>
      </c>
      <c r="H39" s="2" t="s">
        <v>330</v>
      </c>
      <c r="I39" s="1" t="s">
        <v>24</v>
      </c>
      <c r="J39" s="1" t="s">
        <v>354</v>
      </c>
    </row>
    <row r="40" spans="6:10" x14ac:dyDescent="0.2">
      <c r="F40">
        <v>38</v>
      </c>
      <c r="G40" s="7" t="s">
        <v>346</v>
      </c>
      <c r="H40" s="2" t="s">
        <v>346</v>
      </c>
      <c r="I40" s="1" t="s">
        <v>24</v>
      </c>
      <c r="J40" s="1" t="s">
        <v>354</v>
      </c>
    </row>
    <row r="41" spans="6:10" x14ac:dyDescent="0.2">
      <c r="F41">
        <v>39</v>
      </c>
      <c r="G41" s="7" t="s">
        <v>331</v>
      </c>
      <c r="H41" s="2" t="s">
        <v>331</v>
      </c>
      <c r="I41" s="1" t="s">
        <v>24</v>
      </c>
      <c r="J41" s="1" t="s">
        <v>354</v>
      </c>
    </row>
    <row r="42" spans="6:10" x14ac:dyDescent="0.2">
      <c r="F42">
        <v>40</v>
      </c>
      <c r="G42" s="7" t="s">
        <v>329</v>
      </c>
      <c r="H42" s="2" t="s">
        <v>329</v>
      </c>
      <c r="I42" s="1" t="s">
        <v>24</v>
      </c>
      <c r="J42" s="1" t="s">
        <v>354</v>
      </c>
    </row>
    <row r="43" spans="6:10" x14ac:dyDescent="0.2">
      <c r="F43">
        <v>41</v>
      </c>
      <c r="G43" s="7" t="s">
        <v>347</v>
      </c>
      <c r="H43" s="2" t="s">
        <v>347</v>
      </c>
      <c r="I43" s="1" t="s">
        <v>24</v>
      </c>
      <c r="J43" s="1" t="s">
        <v>354</v>
      </c>
    </row>
    <row r="44" spans="6:10" x14ac:dyDescent="0.2">
      <c r="F44">
        <v>42</v>
      </c>
      <c r="G44" s="7" t="s">
        <v>348</v>
      </c>
      <c r="H44" s="2" t="s">
        <v>348</v>
      </c>
      <c r="I44" s="1" t="s">
        <v>24</v>
      </c>
      <c r="J44" s="1" t="s">
        <v>354</v>
      </c>
    </row>
    <row r="45" spans="6:10" x14ac:dyDescent="0.2">
      <c r="F45">
        <v>43</v>
      </c>
      <c r="G45" s="7" t="s">
        <v>326</v>
      </c>
      <c r="H45" s="2" t="s">
        <v>326</v>
      </c>
      <c r="I45" s="1" t="s">
        <v>24</v>
      </c>
      <c r="J45" s="1" t="s">
        <v>354</v>
      </c>
    </row>
    <row r="46" spans="6:10" x14ac:dyDescent="0.2">
      <c r="F46">
        <v>44</v>
      </c>
      <c r="G46" s="7" t="s">
        <v>327</v>
      </c>
      <c r="H46" s="2" t="s">
        <v>327</v>
      </c>
      <c r="I46" s="1" t="s">
        <v>24</v>
      </c>
      <c r="J46" s="1" t="s">
        <v>354</v>
      </c>
    </row>
    <row r="47" spans="6:10" x14ac:dyDescent="0.2">
      <c r="F47">
        <v>45</v>
      </c>
      <c r="G47" s="7" t="s">
        <v>329</v>
      </c>
      <c r="H47" s="2" t="s">
        <v>329</v>
      </c>
      <c r="I47" s="1" t="s">
        <v>21</v>
      </c>
      <c r="J47" s="1" t="s">
        <v>354</v>
      </c>
    </row>
    <row r="48" spans="6:10" x14ac:dyDescent="0.2">
      <c r="F48">
        <v>46</v>
      </c>
      <c r="G48" s="7" t="s">
        <v>337</v>
      </c>
      <c r="H48" s="2" t="s">
        <v>337</v>
      </c>
      <c r="I48" s="1" t="s">
        <v>18</v>
      </c>
      <c r="J48" s="1" t="s">
        <v>354</v>
      </c>
    </row>
    <row r="49" spans="6:10" x14ac:dyDescent="0.2">
      <c r="F49">
        <v>47</v>
      </c>
      <c r="G49" s="7" t="s">
        <v>346</v>
      </c>
      <c r="H49" s="2" t="s">
        <v>346</v>
      </c>
      <c r="I49" s="1" t="s">
        <v>15</v>
      </c>
      <c r="J49" s="1" t="s">
        <v>354</v>
      </c>
    </row>
    <row r="50" spans="6:10" x14ac:dyDescent="0.2">
      <c r="F50">
        <v>48</v>
      </c>
      <c r="G50" s="7" t="s">
        <v>10</v>
      </c>
      <c r="H50" s="2" t="s">
        <v>10</v>
      </c>
      <c r="I50" s="1" t="s">
        <v>12</v>
      </c>
      <c r="J50" s="1" t="s">
        <v>354</v>
      </c>
    </row>
    <row r="51" spans="6:10" x14ac:dyDescent="0.2">
      <c r="F51">
        <v>49</v>
      </c>
      <c r="G51" s="7" t="s">
        <v>327</v>
      </c>
      <c r="H51" s="2" t="s">
        <v>327</v>
      </c>
      <c r="I51" s="1" t="s">
        <v>7</v>
      </c>
      <c r="J51" s="1" t="s">
        <v>354</v>
      </c>
    </row>
    <row r="52" spans="6:10" x14ac:dyDescent="0.2">
      <c r="F52">
        <v>50</v>
      </c>
      <c r="G52" s="7" t="s">
        <v>324</v>
      </c>
      <c r="H52" s="2" t="s">
        <v>324</v>
      </c>
      <c r="I52" s="1" t="s">
        <v>2</v>
      </c>
      <c r="J52" s="1" t="s">
        <v>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PROGRAMAS</vt:lpstr>
      <vt:lpstr>MODELOS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de la Rosa</dc:creator>
  <cp:lastModifiedBy>Alejandro de la Rosa</cp:lastModifiedBy>
  <dcterms:created xsi:type="dcterms:W3CDTF">2021-01-27T22:58:37Z</dcterms:created>
  <dcterms:modified xsi:type="dcterms:W3CDTF">2021-04-01T23:31:42Z</dcterms:modified>
</cp:coreProperties>
</file>