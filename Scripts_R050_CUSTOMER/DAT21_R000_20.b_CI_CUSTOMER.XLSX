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d\Documents\GitHub\CONTROL_MASTER\Scripts_R050_CUSTOMER\"/>
    </mc:Choice>
  </mc:AlternateContent>
  <xr:revisionPtr revIDLastSave="0" documentId="13_ncr:1_{52F6E583-031B-4B91-B1E4-D080685F1734}" xr6:coauthVersionLast="46" xr6:coauthVersionMax="46" xr10:uidLastSave="{00000000-0000-0000-0000-000000000000}"/>
  <bookViews>
    <workbookView xWindow="-120" yWindow="-120" windowWidth="29040" windowHeight="15840" tabRatio="418" activeTab="1" xr2:uid="{00000000-000D-0000-FFFF-FFFF00000000}"/>
  </bookViews>
  <sheets>
    <sheet name="TABLE" sheetId="2" r:id="rId1"/>
    <sheet name="CI_" sheetId="1" r:id="rId2"/>
    <sheet name="ADDRESS" sheetId="4" r:id="rId3"/>
    <sheet name="CONTACT" sheetId="5" r:id="rId4"/>
    <sheet name="Hoja1" sheetId="3" r:id="rId5"/>
  </sheets>
  <definedNames>
    <definedName name="_xlnm._FilterDatabase" localSheetId="2" hidden="1">ADDRESS!$A$1:$Q$20</definedName>
    <definedName name="_xlnm._FilterDatabase" localSheetId="1" hidden="1">CI_!$A$1:$AE$62</definedName>
    <definedName name="_xlnm._FilterDatabase" localSheetId="3" hidden="1">CONTACT!$A$1:$P$61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  <c r="M2" i="5"/>
  <c r="N2" i="4"/>
  <c r="Q61" i="1"/>
  <c r="Z3" i="3"/>
  <c r="AB3" i="3" s="1"/>
  <c r="AA3" i="3"/>
  <c r="Z4" i="3"/>
  <c r="AA4" i="3" s="1"/>
  <c r="Z5" i="3"/>
  <c r="AB5" i="3" s="1"/>
  <c r="AA5" i="3"/>
  <c r="Z6" i="3"/>
  <c r="AA6" i="3" s="1"/>
  <c r="Z7" i="3"/>
  <c r="AB7" i="3" s="1"/>
  <c r="AA7" i="3"/>
  <c r="AC7" i="3" s="1"/>
  <c r="Z8" i="3"/>
  <c r="AA8" i="3" s="1"/>
  <c r="Z9" i="3"/>
  <c r="AB9" i="3" s="1"/>
  <c r="AA9" i="3"/>
  <c r="Z10" i="3"/>
  <c r="AA10" i="3" s="1"/>
  <c r="Z11" i="3"/>
  <c r="AB11" i="3" s="1"/>
  <c r="AA11" i="3"/>
  <c r="AC11" i="3" s="1"/>
  <c r="Z12" i="3"/>
  <c r="AA12" i="3" s="1"/>
  <c r="Z13" i="3"/>
  <c r="AB13" i="3" s="1"/>
  <c r="AA13" i="3"/>
  <c r="AC13" i="3" s="1"/>
  <c r="Z14" i="3"/>
  <c r="AA14" i="3" s="1"/>
  <c r="Z15" i="3"/>
  <c r="AB15" i="3" s="1"/>
  <c r="AA15" i="3"/>
  <c r="AC15" i="3" s="1"/>
  <c r="Z16" i="3"/>
  <c r="AA16" i="3" s="1"/>
  <c r="Z17" i="3"/>
  <c r="AB17" i="3" s="1"/>
  <c r="AA17" i="3"/>
  <c r="Z18" i="3"/>
  <c r="AA18" i="3" s="1"/>
  <c r="Z19" i="3"/>
  <c r="AB19" i="3" s="1"/>
  <c r="AA19" i="3"/>
  <c r="Z20" i="3"/>
  <c r="AA20" i="3" s="1"/>
  <c r="Z21" i="3"/>
  <c r="AB21" i="3" s="1"/>
  <c r="AA21" i="3"/>
  <c r="Z22" i="3"/>
  <c r="AA22" i="3" s="1"/>
  <c r="Z23" i="3"/>
  <c r="AB23" i="3" s="1"/>
  <c r="AA23" i="3"/>
  <c r="AC23" i="3" s="1"/>
  <c r="Z24" i="3"/>
  <c r="AA24" i="3" s="1"/>
  <c r="Z25" i="3"/>
  <c r="AB25" i="3" s="1"/>
  <c r="AA25" i="3"/>
  <c r="Z26" i="3"/>
  <c r="AA26" i="3" s="1"/>
  <c r="Z27" i="3"/>
  <c r="AB27" i="3" s="1"/>
  <c r="AA27" i="3"/>
  <c r="AC27" i="3" s="1"/>
  <c r="Z28" i="3"/>
  <c r="AA28" i="3" s="1"/>
  <c r="Z29" i="3"/>
  <c r="AB29" i="3" s="1"/>
  <c r="AA29" i="3"/>
  <c r="AC29" i="3" s="1"/>
  <c r="Z30" i="3"/>
  <c r="AA30" i="3" s="1"/>
  <c r="Z31" i="3"/>
  <c r="AB31" i="3" s="1"/>
  <c r="AA31" i="3"/>
  <c r="AC31" i="3" s="1"/>
  <c r="Z32" i="3"/>
  <c r="AA32" i="3" s="1"/>
  <c r="Z33" i="3"/>
  <c r="AB33" i="3" s="1"/>
  <c r="AA33" i="3"/>
  <c r="Z34" i="3"/>
  <c r="AA34" i="3" s="1"/>
  <c r="Z35" i="3"/>
  <c r="AB35" i="3" s="1"/>
  <c r="AA35" i="3"/>
  <c r="Z36" i="3"/>
  <c r="AA36" i="3" s="1"/>
  <c r="Z37" i="3"/>
  <c r="AB37" i="3" s="1"/>
  <c r="AA37" i="3"/>
  <c r="Z38" i="3"/>
  <c r="AA38" i="3" s="1"/>
  <c r="Z39" i="3"/>
  <c r="AB39" i="3" s="1"/>
  <c r="AA39" i="3"/>
  <c r="AC39" i="3" s="1"/>
  <c r="Z40" i="3"/>
  <c r="AA40" i="3" s="1"/>
  <c r="Z41" i="3"/>
  <c r="AB41" i="3" s="1"/>
  <c r="AA41" i="3"/>
  <c r="Z42" i="3"/>
  <c r="AA42" i="3" s="1"/>
  <c r="Z43" i="3"/>
  <c r="AB43" i="3" s="1"/>
  <c r="AA43" i="3"/>
  <c r="AC43" i="3" s="1"/>
  <c r="Z44" i="3"/>
  <c r="AA44" i="3" s="1"/>
  <c r="Z45" i="3"/>
  <c r="AB45" i="3" s="1"/>
  <c r="AA45" i="3"/>
  <c r="AC45" i="3" s="1"/>
  <c r="Z46" i="3"/>
  <c r="AA46" i="3" s="1"/>
  <c r="Z47" i="3"/>
  <c r="AB47" i="3" s="1"/>
  <c r="AA47" i="3"/>
  <c r="AC47" i="3" s="1"/>
  <c r="Z48" i="3"/>
  <c r="AA48" i="3" s="1"/>
  <c r="Z49" i="3"/>
  <c r="AB49" i="3" s="1"/>
  <c r="AA49" i="3"/>
  <c r="Z50" i="3"/>
  <c r="AA50" i="3" s="1"/>
  <c r="Z51" i="3"/>
  <c r="AB51" i="3" s="1"/>
  <c r="AA51" i="3"/>
  <c r="AC51" i="3" s="1"/>
  <c r="Z52" i="3"/>
  <c r="AA52" i="3" s="1"/>
  <c r="Z53" i="3"/>
  <c r="AB53" i="3" s="1"/>
  <c r="AA53" i="3"/>
  <c r="Z54" i="3"/>
  <c r="AA54" i="3" s="1"/>
  <c r="Z55" i="3"/>
  <c r="AB55" i="3" s="1"/>
  <c r="AA55" i="3"/>
  <c r="AC55" i="3" s="1"/>
  <c r="Z56" i="3"/>
  <c r="AA56" i="3" s="1"/>
  <c r="Z57" i="3"/>
  <c r="AB57" i="3" s="1"/>
  <c r="AA57" i="3"/>
  <c r="Z58" i="3"/>
  <c r="AA58" i="3" s="1"/>
  <c r="Z59" i="3"/>
  <c r="AB59" i="3" s="1"/>
  <c r="AA59" i="3"/>
  <c r="AC59" i="3" s="1"/>
  <c r="Z60" i="3"/>
  <c r="AA60" i="3" s="1"/>
  <c r="AC2" i="3"/>
  <c r="AB2" i="3"/>
  <c r="AA2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2" i="3"/>
  <c r="AC34" i="3" l="1"/>
  <c r="AC49" i="3"/>
  <c r="AC33" i="3"/>
  <c r="AC17" i="3"/>
  <c r="AC12" i="3"/>
  <c r="AC38" i="3"/>
  <c r="AC53" i="3"/>
  <c r="AC37" i="3"/>
  <c r="AC21" i="3"/>
  <c r="AC5" i="3"/>
  <c r="AC42" i="3"/>
  <c r="AC26" i="3"/>
  <c r="AC10" i="3"/>
  <c r="AC57" i="3"/>
  <c r="AC41" i="3"/>
  <c r="AC25" i="3"/>
  <c r="AC9" i="3"/>
  <c r="AC4" i="3"/>
  <c r="AC35" i="3"/>
  <c r="AC30" i="3"/>
  <c r="AC19" i="3"/>
  <c r="AC3" i="3"/>
  <c r="AC56" i="3"/>
  <c r="AC24" i="3"/>
  <c r="AB60" i="3"/>
  <c r="AC60" i="3" s="1"/>
  <c r="AB58" i="3"/>
  <c r="AC58" i="3" s="1"/>
  <c r="AB56" i="3"/>
  <c r="AB54" i="3"/>
  <c r="AC54" i="3" s="1"/>
  <c r="AB52" i="3"/>
  <c r="AC52" i="3" s="1"/>
  <c r="AB50" i="3"/>
  <c r="AC50" i="3" s="1"/>
  <c r="AB48" i="3"/>
  <c r="AC48" i="3" s="1"/>
  <c r="AB46" i="3"/>
  <c r="AC46" i="3" s="1"/>
  <c r="AB44" i="3"/>
  <c r="AC44" i="3" s="1"/>
  <c r="AB42" i="3"/>
  <c r="AB40" i="3"/>
  <c r="AC40" i="3" s="1"/>
  <c r="AB38" i="3"/>
  <c r="AB36" i="3"/>
  <c r="AC36" i="3" s="1"/>
  <c r="AB34" i="3"/>
  <c r="AB32" i="3"/>
  <c r="AC32" i="3" s="1"/>
  <c r="AB30" i="3"/>
  <c r="AB28" i="3"/>
  <c r="AC28" i="3" s="1"/>
  <c r="AB26" i="3"/>
  <c r="AB24" i="3"/>
  <c r="AB22" i="3"/>
  <c r="AC22" i="3" s="1"/>
  <c r="AB20" i="3"/>
  <c r="AC20" i="3" s="1"/>
  <c r="AB18" i="3"/>
  <c r="AC18" i="3" s="1"/>
  <c r="AB16" i="3"/>
  <c r="AC16" i="3" s="1"/>
  <c r="AB14" i="3"/>
  <c r="AC14" i="3" s="1"/>
  <c r="AB12" i="3"/>
  <c r="AB10" i="3"/>
  <c r="AB8" i="3"/>
  <c r="AC8" i="3" s="1"/>
  <c r="AB6" i="3"/>
  <c r="AC6" i="3" s="1"/>
  <c r="AB4" i="3"/>
  <c r="Q59" i="1"/>
  <c r="Q54" i="1"/>
  <c r="Q56" i="1"/>
  <c r="Q37" i="1"/>
  <c r="Q32" i="1"/>
  <c r="Q51" i="1"/>
  <c r="Q29" i="1"/>
  <c r="Q36" i="1"/>
  <c r="Q28" i="1"/>
  <c r="Q45" i="1"/>
  <c r="Q46" i="1"/>
  <c r="Q44" i="1"/>
  <c r="Q27" i="1"/>
  <c r="Q26" i="1"/>
  <c r="Q25" i="1"/>
  <c r="Q24" i="1"/>
  <c r="Q23" i="1"/>
  <c r="Q22" i="1"/>
  <c r="Q21" i="1"/>
  <c r="Q42" i="1"/>
  <c r="Q48" i="1"/>
  <c r="Q20" i="1"/>
  <c r="Q19" i="1"/>
  <c r="Q18" i="1"/>
  <c r="Q17" i="1"/>
  <c r="Q16" i="1"/>
  <c r="Q15" i="1"/>
  <c r="Q14" i="1"/>
  <c r="Q13" i="1"/>
  <c r="Q31" i="1"/>
  <c r="Q12" i="1"/>
  <c r="Q11" i="1"/>
  <c r="Q40" i="1"/>
  <c r="Q49" i="1"/>
  <c r="Q39" i="1"/>
  <c r="Q38" i="1"/>
  <c r="Q10" i="1"/>
  <c r="Q33" i="1"/>
  <c r="Q9" i="1"/>
  <c r="Q35" i="1"/>
  <c r="Q8" i="1"/>
  <c r="Q55" i="1"/>
  <c r="Q41" i="1"/>
  <c r="Q7" i="1"/>
  <c r="Q6" i="1"/>
  <c r="Q5" i="1"/>
  <c r="Q52" i="1"/>
  <c r="Q4" i="1"/>
  <c r="Q58" i="1"/>
  <c r="Q3" i="1"/>
  <c r="Q57" i="1"/>
  <c r="Q2" i="1"/>
  <c r="Q43" i="1"/>
  <c r="Q34" i="1"/>
  <c r="Q30" i="1"/>
  <c r="Q50" i="1"/>
  <c r="Q47" i="1"/>
  <c r="Q60" i="1"/>
  <c r="Q53" i="1"/>
  <c r="N1" i="5" l="1"/>
  <c r="P1" i="5" s="1"/>
  <c r="M25" i="5" l="1"/>
  <c r="M27" i="5"/>
  <c r="M59" i="5"/>
  <c r="M12" i="5"/>
  <c r="M36" i="5"/>
  <c r="M5" i="5"/>
  <c r="M13" i="5"/>
  <c r="M21" i="5"/>
  <c r="M29" i="5"/>
  <c r="M37" i="5"/>
  <c r="M45" i="5"/>
  <c r="M53" i="5"/>
  <c r="M61" i="5"/>
  <c r="M6" i="5"/>
  <c r="M14" i="5"/>
  <c r="M22" i="5"/>
  <c r="M30" i="5"/>
  <c r="M38" i="5"/>
  <c r="M46" i="5"/>
  <c r="M54" i="5"/>
  <c r="M3" i="5"/>
  <c r="M7" i="5"/>
  <c r="M15" i="5"/>
  <c r="M23" i="5"/>
  <c r="M31" i="5"/>
  <c r="M39" i="5"/>
  <c r="M47" i="5"/>
  <c r="M55" i="5"/>
  <c r="M9" i="5"/>
  <c r="M33" i="5"/>
  <c r="M57" i="5"/>
  <c r="M18" i="5"/>
  <c r="M34" i="5"/>
  <c r="M50" i="5"/>
  <c r="M19" i="5"/>
  <c r="M43" i="5"/>
  <c r="M4" i="5"/>
  <c r="M28" i="5"/>
  <c r="M60" i="5"/>
  <c r="M20" i="5"/>
  <c r="M52" i="5"/>
  <c r="M8" i="5"/>
  <c r="M16" i="5"/>
  <c r="M24" i="5"/>
  <c r="M32" i="5"/>
  <c r="M40" i="5"/>
  <c r="M48" i="5"/>
  <c r="M56" i="5"/>
  <c r="M17" i="5"/>
  <c r="M41" i="5"/>
  <c r="M49" i="5"/>
  <c r="M10" i="5"/>
  <c r="M26" i="5"/>
  <c r="M42" i="5"/>
  <c r="M58" i="5"/>
  <c r="M11" i="5"/>
  <c r="M35" i="5"/>
  <c r="M51" i="5"/>
  <c r="M44" i="5"/>
  <c r="O1" i="4"/>
  <c r="Q1" i="4" s="1"/>
  <c r="AE1" i="1"/>
  <c r="N6" i="4" l="1"/>
  <c r="N7" i="4"/>
  <c r="N15" i="4"/>
  <c r="N8" i="4"/>
  <c r="N16" i="4"/>
  <c r="N9" i="4"/>
  <c r="N17" i="4"/>
  <c r="N11" i="4"/>
  <c r="N19" i="4"/>
  <c r="N12" i="4"/>
  <c r="N20" i="4"/>
  <c r="N5" i="4"/>
  <c r="N3" i="4"/>
  <c r="N10" i="4"/>
  <c r="N18" i="4"/>
  <c r="N4" i="4"/>
  <c r="N13" i="4"/>
  <c r="N14" i="4"/>
  <c r="AB3" i="1"/>
  <c r="AB11" i="1"/>
  <c r="AB19" i="1"/>
  <c r="AB27" i="1"/>
  <c r="AB35" i="1"/>
  <c r="AB43" i="1"/>
  <c r="AB51" i="1"/>
  <c r="AB59" i="1"/>
  <c r="AB58" i="1"/>
  <c r="AB4" i="1"/>
  <c r="AB12" i="1"/>
  <c r="AB20" i="1"/>
  <c r="AB28" i="1"/>
  <c r="AB36" i="1"/>
  <c r="AB44" i="1"/>
  <c r="AB52" i="1"/>
  <c r="AB60" i="1"/>
  <c r="AB42" i="1"/>
  <c r="AB5" i="1"/>
  <c r="AB13" i="1"/>
  <c r="AB21" i="1"/>
  <c r="AB29" i="1"/>
  <c r="AB37" i="1"/>
  <c r="AB45" i="1"/>
  <c r="AB53" i="1"/>
  <c r="AB61" i="1"/>
  <c r="AB50" i="1"/>
  <c r="AB6" i="1"/>
  <c r="AB14" i="1"/>
  <c r="AB22" i="1"/>
  <c r="AB30" i="1"/>
  <c r="AB38" i="1"/>
  <c r="AB46" i="1"/>
  <c r="AB54" i="1"/>
  <c r="AB62" i="1"/>
  <c r="AB34" i="1"/>
  <c r="AB7" i="1"/>
  <c r="AB15" i="1"/>
  <c r="AB23" i="1"/>
  <c r="AB31" i="1"/>
  <c r="AB39" i="1"/>
  <c r="AB47" i="1"/>
  <c r="AB55" i="1"/>
  <c r="AB2" i="1"/>
  <c r="AB18" i="1"/>
  <c r="AB8" i="1"/>
  <c r="AB16" i="1"/>
  <c r="AB24" i="1"/>
  <c r="AB32" i="1"/>
  <c r="AB40" i="1"/>
  <c r="AB48" i="1"/>
  <c r="AB56" i="1"/>
  <c r="AB26" i="1"/>
  <c r="AB9" i="1"/>
  <c r="AB17" i="1"/>
  <c r="AB25" i="1"/>
  <c r="AB33" i="1"/>
  <c r="AB41" i="1"/>
  <c r="AB49" i="1"/>
  <c r="AB57" i="1"/>
  <c r="AB10" i="1"/>
</calcChain>
</file>

<file path=xl/sharedStrings.xml><?xml version="1.0" encoding="utf-8"?>
<sst xmlns="http://schemas.openxmlformats.org/spreadsheetml/2006/main" count="4688" uniqueCount="1022">
  <si>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</si>
  <si>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</si>
  <si>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</si>
  <si>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</si>
  <si>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</si>
  <si>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</si>
  <si>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</si>
  <si>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</si>
  <si>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???</t>
  </si>
  <si>
    <t>EXECUTE [dbo].[</t>
  </si>
  <si>
    <t>[INT]</t>
  </si>
  <si>
    <t>Nombre Campo</t>
  </si>
  <si>
    <t>( N/C )</t>
  </si>
  <si>
    <t>JUAREZ</t>
  </si>
  <si>
    <t>cus_no</t>
  </si>
  <si>
    <t>cus_name</t>
  </si>
  <si>
    <t>addr_1</t>
  </si>
  <si>
    <t>addr_2</t>
  </si>
  <si>
    <t>city</t>
  </si>
  <si>
    <t>state</t>
  </si>
  <si>
    <t>zip</t>
  </si>
  <si>
    <t>country</t>
  </si>
  <si>
    <t>contact</t>
  </si>
  <si>
    <t>contact_2</t>
  </si>
  <si>
    <t>phone_no</t>
  </si>
  <si>
    <t>phone_no_2</t>
  </si>
  <si>
    <t>phone_ext</t>
  </si>
  <si>
    <t>phone_ext_2</t>
  </si>
  <si>
    <t>fax_no</t>
  </si>
  <si>
    <t>start_dt</t>
  </si>
  <si>
    <t>slspsn_no</t>
  </si>
  <si>
    <t>cus_type_cd</t>
  </si>
  <si>
    <t>bal_meth</t>
  </si>
  <si>
    <t>stm_freq</t>
  </si>
  <si>
    <t>cr_lmt</t>
  </si>
  <si>
    <t>cr_rating</t>
  </si>
  <si>
    <t>hold_fg</t>
  </si>
  <si>
    <t>collector</t>
  </si>
  <si>
    <t>fin_chg_fg</t>
  </si>
  <si>
    <t>cus_origin</t>
  </si>
  <si>
    <t>filler_0003</t>
  </si>
  <si>
    <t>terr</t>
  </si>
  <si>
    <t>curr_cd</t>
  </si>
  <si>
    <t>par_cus_no</t>
  </si>
  <si>
    <t>par_cus_fg</t>
  </si>
  <si>
    <t>ship_via_cd</t>
  </si>
  <si>
    <t>ups_zone</t>
  </si>
  <si>
    <t>ar_terms_cd</t>
  </si>
  <si>
    <t>dsc_pct</t>
  </si>
  <si>
    <t>ytd_dsc_given</t>
  </si>
  <si>
    <t>txbl_fg</t>
  </si>
  <si>
    <t>tax_cd</t>
  </si>
  <si>
    <t>tax_cd_2</t>
  </si>
  <si>
    <t>tax_cd_3</t>
  </si>
  <si>
    <t>exempt_no</t>
  </si>
  <si>
    <t>sls_ptd</t>
  </si>
  <si>
    <t>sls_ytd</t>
  </si>
  <si>
    <t>sls_last_yr</t>
  </si>
  <si>
    <t>cost_ptd</t>
  </si>
  <si>
    <t>cost_ytd</t>
  </si>
  <si>
    <t>cost_last_yr</t>
  </si>
  <si>
    <t>balance</t>
  </si>
  <si>
    <t>high_balance</t>
  </si>
  <si>
    <t>last_sale_dt</t>
  </si>
  <si>
    <t>last_sale_amt</t>
  </si>
  <si>
    <t>inv_ytd</t>
  </si>
  <si>
    <t>inv_last_yr</t>
  </si>
  <si>
    <t>paid_inv_ytd</t>
  </si>
  <si>
    <t>last_pay_dt</t>
  </si>
  <si>
    <t>last_pay_amt</t>
  </si>
  <si>
    <t>avg_pay_ytd</t>
  </si>
  <si>
    <t>avg_pay_last_yr</t>
  </si>
  <si>
    <t>last_stm_age_dt</t>
  </si>
  <si>
    <t>amt_age_prd_1</t>
  </si>
  <si>
    <t>amt_age_prd_2</t>
  </si>
  <si>
    <t>amt_age_prd_3</t>
  </si>
  <si>
    <t>amt_age_prd_4</t>
  </si>
  <si>
    <t>allow_sb_item</t>
  </si>
  <si>
    <t>allow_bo</t>
  </si>
  <si>
    <t>allow_part_ship</t>
  </si>
  <si>
    <t>print_dunn_fg</t>
  </si>
  <si>
    <t>cmt_1</t>
  </si>
  <si>
    <t>cmt_2</t>
  </si>
  <si>
    <t>vend_no</t>
  </si>
  <si>
    <t>tax_sched</t>
  </si>
  <si>
    <t>cr_card_1_desc</t>
  </si>
  <si>
    <t>cr_card_1_acct</t>
  </si>
  <si>
    <t>cr_card_1_exp_dt</t>
  </si>
  <si>
    <t>cr_card_2_desc</t>
  </si>
  <si>
    <t>cr_card_2_acct</t>
  </si>
  <si>
    <t>cr_card_2_exp_dt</t>
  </si>
  <si>
    <t>user_def_fld_1</t>
  </si>
  <si>
    <t>user_def_fld_2</t>
  </si>
  <si>
    <t>user_def_fld_3</t>
  </si>
  <si>
    <t>user_def_fld_4</t>
  </si>
  <si>
    <t>user_def_fld_5</t>
  </si>
  <si>
    <t>dflt_inv_form</t>
  </si>
  <si>
    <t>loc</t>
  </si>
  <si>
    <t>note_1</t>
  </si>
  <si>
    <t>note_2</t>
  </si>
  <si>
    <t>note_3</t>
  </si>
  <si>
    <t>note_4</t>
  </si>
  <si>
    <t>note_5</t>
  </si>
  <si>
    <t>user_dt</t>
  </si>
  <si>
    <t>user_amount</t>
  </si>
  <si>
    <t>amt_age_oe_term</t>
  </si>
  <si>
    <t>cus_alt_adr_cd</t>
  </si>
  <si>
    <t>rfc_no</t>
  </si>
  <si>
    <t>email_addr</t>
  </si>
  <si>
    <t>filler_0002</t>
  </si>
  <si>
    <t>A4GLIdentity</t>
  </si>
  <si>
    <t xml:space="preserve">                                                                                                    </t>
  </si>
  <si>
    <t xml:space="preserve">49200 HALYARD DRIVE.PLYMOUTH,                                                                       </t>
  </si>
  <si>
    <t xml:space="preserve">PLYMOUTH                  </t>
  </si>
  <si>
    <t xml:space="preserve">MI  </t>
  </si>
  <si>
    <t xml:space="preserve">EU                                                          </t>
  </si>
  <si>
    <t xml:space="preserve">MAURICIO ESPINOSA                       </t>
  </si>
  <si>
    <t xml:space="preserve">                                        </t>
  </si>
  <si>
    <t xml:space="preserve">                    </t>
  </si>
  <si>
    <t xml:space="preserve">    </t>
  </si>
  <si>
    <t>MCUEX</t>
  </si>
  <si>
    <t>O</t>
  </si>
  <si>
    <t>M</t>
  </si>
  <si>
    <t>NULL</t>
  </si>
  <si>
    <t>N</t>
  </si>
  <si>
    <t>US</t>
  </si>
  <si>
    <t>USD</t>
  </si>
  <si>
    <t>EXP</t>
  </si>
  <si>
    <t>Y</t>
  </si>
  <si>
    <t>MFP</t>
  </si>
  <si>
    <t xml:space="preserve">ALGRP1      </t>
  </si>
  <si>
    <t xml:space="preserve">17 BARSTOWN ROAD                                                                                    </t>
  </si>
  <si>
    <t xml:space="preserve">GREAT NECK STATES         </t>
  </si>
  <si>
    <t xml:space="preserve">NY  </t>
  </si>
  <si>
    <t xml:space="preserve">USA                                                         </t>
  </si>
  <si>
    <t>LOC</t>
  </si>
  <si>
    <t xml:space="preserve">bkamali@kamaligroup.com                 </t>
  </si>
  <si>
    <t xml:space="preserve">BILT01      </t>
  </si>
  <si>
    <t xml:space="preserve">17 BARSTOW RD.                                                                                      </t>
  </si>
  <si>
    <t xml:space="preserve">SUITE 206                                                                                           </t>
  </si>
  <si>
    <t xml:space="preserve">GREAT NECK                </t>
  </si>
  <si>
    <t xml:space="preserve">RUTH KAMALI                             </t>
  </si>
  <si>
    <t xml:space="preserve">516-627-4000        </t>
  </si>
  <si>
    <t xml:space="preserve">MISC </t>
  </si>
  <si>
    <t>AUD</t>
  </si>
  <si>
    <t>COD</t>
  </si>
  <si>
    <t xml:space="preserve">BMCS01      </t>
  </si>
  <si>
    <t xml:space="preserve">163 HERITAGE ROAD                                                                                   </t>
  </si>
  <si>
    <t xml:space="preserve">KINGSVILLE                                                                                          </t>
  </si>
  <si>
    <t xml:space="preserve">ONTARIO                   </t>
  </si>
  <si>
    <t xml:space="preserve">N9Y 2C7   </t>
  </si>
  <si>
    <t xml:space="preserve">CANADA                                                      </t>
  </si>
  <si>
    <t xml:space="preserve">519 733 3713        </t>
  </si>
  <si>
    <t>MX</t>
  </si>
  <si>
    <t xml:space="preserve">n/a                           </t>
  </si>
  <si>
    <t xml:space="preserve">CASH01      </t>
  </si>
  <si>
    <t xml:space="preserve">          </t>
  </si>
  <si>
    <t xml:space="preserve">EXP  </t>
  </si>
  <si>
    <t xml:space="preserve">CASH02      </t>
  </si>
  <si>
    <t xml:space="preserve">CALLE PASCUAL OROZCO 591                                                                            </t>
  </si>
  <si>
    <t xml:space="preserve">COL. SANTA MARIA                                                                                    </t>
  </si>
  <si>
    <t xml:space="preserve">CD. JUAREZ                </t>
  </si>
  <si>
    <t>CHIH</t>
  </si>
  <si>
    <t xml:space="preserve">CP 32676  </t>
  </si>
  <si>
    <t xml:space="preserve">RFC: RED090407DF4                                           </t>
  </si>
  <si>
    <t xml:space="preserve">ROGELIO CORRAL                          </t>
  </si>
  <si>
    <t xml:space="preserve">CNII01      </t>
  </si>
  <si>
    <t xml:space="preserve">1148 ROCHESTER ROAD                                                                                 </t>
  </si>
  <si>
    <t xml:space="preserve">TROY                      </t>
  </si>
  <si>
    <t xml:space="preserve">NIKKI OSTERLAND                         </t>
  </si>
  <si>
    <t xml:space="preserve">248 5857700         </t>
  </si>
  <si>
    <t xml:space="preserve">248 5855800         </t>
  </si>
  <si>
    <t xml:space="preserve">FOB ACUNA                     </t>
  </si>
  <si>
    <t xml:space="preserve">N/A                           </t>
  </si>
  <si>
    <t xml:space="preserve">DAIM05      </t>
  </si>
  <si>
    <t xml:space="preserve">AVE. CENZONTLE ESQ. HALCON                                                                          </t>
  </si>
  <si>
    <t xml:space="preserve">CARRETERA MONCLOVA #7                                                                               </t>
  </si>
  <si>
    <t xml:space="preserve">RAMOS ARZIPE              </t>
  </si>
  <si>
    <t xml:space="preserve"> COA</t>
  </si>
  <si>
    <t xml:space="preserve">MEX                                                         </t>
  </si>
  <si>
    <t xml:space="preserve">Office@daimayus.com                     </t>
  </si>
  <si>
    <t xml:space="preserve">EBIN01      </t>
  </si>
  <si>
    <t xml:space="preserve">44 MITCHELL ROAD                                                                                    </t>
  </si>
  <si>
    <t xml:space="preserve">IPSWICH                                                                                             </t>
  </si>
  <si>
    <t xml:space="preserve">MASSACHUSETTS             </t>
  </si>
  <si>
    <t xml:space="preserve">978-356-5701        </t>
  </si>
  <si>
    <t xml:space="preserve">978-356-9832        </t>
  </si>
  <si>
    <t>MSUEX</t>
  </si>
  <si>
    <t xml:space="preserve">AF </t>
  </si>
  <si>
    <t xml:space="preserve">EFFO01         </t>
  </si>
  <si>
    <t xml:space="preserve">EISS01      </t>
  </si>
  <si>
    <t xml:space="preserve">Reforma Sur No. 27                                                                                  </t>
  </si>
  <si>
    <t xml:space="preserve">Nave 1                                                                                              </t>
  </si>
  <si>
    <t xml:space="preserve">Panzacola                 </t>
  </si>
  <si>
    <t xml:space="preserve">MEXICO                                                      </t>
  </si>
  <si>
    <t xml:space="preserve">ENSA01      </t>
  </si>
  <si>
    <t xml:space="preserve">BLVD. OSCAR FLORES 4250                                                                             </t>
  </si>
  <si>
    <t xml:space="preserve">CD JUAREZ, CHIH.          </t>
  </si>
  <si>
    <t xml:space="preserve">LUIS ENRIQUE HERNANDEZ                  </t>
  </si>
  <si>
    <t>MIS</t>
  </si>
  <si>
    <t xml:space="preserve">ENSA01         </t>
  </si>
  <si>
    <t xml:space="preserve">FAUR01      </t>
  </si>
  <si>
    <t xml:space="preserve"> TROY_1402                                                                                          </t>
  </si>
  <si>
    <t xml:space="preserve">AUBURN HILLS              </t>
  </si>
  <si>
    <t xml:space="preserve">ACCOUNTS PAYABLE                        </t>
  </si>
  <si>
    <t xml:space="preserve">FIND01      </t>
  </si>
  <si>
    <t xml:space="preserve">4000 FOSTORIA ROAD                                                                                  </t>
  </si>
  <si>
    <t xml:space="preserve">FINDLAY 0410 45840                                                                                  </t>
  </si>
  <si>
    <t xml:space="preserve">OHIO                      </t>
  </si>
  <si>
    <t xml:space="preserve">419 4245429         </t>
  </si>
  <si>
    <t xml:space="preserve">419 4223164         </t>
  </si>
  <si>
    <t xml:space="preserve">NETT CIF                      </t>
  </si>
  <si>
    <t xml:space="preserve">3-30322                       </t>
  </si>
  <si>
    <t>balance of $674.39 written off</t>
  </si>
  <si>
    <t xml:space="preserve">13/10/00                      </t>
  </si>
  <si>
    <t xml:space="preserve">FIND02      </t>
  </si>
  <si>
    <t xml:space="preserve">PO BOX 1350                                                                                         </t>
  </si>
  <si>
    <t xml:space="preserve">LAKE WALES                                                                                          </t>
  </si>
  <si>
    <t xml:space="preserve">FLORIDA                   </t>
  </si>
  <si>
    <t xml:space="preserve">FL  </t>
  </si>
  <si>
    <t xml:space="preserve">WILLIS I SIMMONS                        </t>
  </si>
  <si>
    <t xml:space="preserve">941 676 6081        </t>
  </si>
  <si>
    <t xml:space="preserve">941 676 6463        </t>
  </si>
  <si>
    <t xml:space="preserve">NO </t>
  </si>
  <si>
    <t>$674.39 written off on account</t>
  </si>
  <si>
    <t xml:space="preserve">FIND01 13/10/00               </t>
  </si>
  <si>
    <t xml:space="preserve">GLOB01      </t>
  </si>
  <si>
    <t xml:space="preserve">UNIT C/735 PRINCE ROAD                                                                              </t>
  </si>
  <si>
    <t xml:space="preserve">WINDSOR                                                                                             </t>
  </si>
  <si>
    <t xml:space="preserve">N9C2Z2    </t>
  </si>
  <si>
    <t xml:space="preserve">ROSA BOURDEAU                           </t>
  </si>
  <si>
    <t xml:space="preserve">GRAM01      </t>
  </si>
  <si>
    <t xml:space="preserve">BOULEVARD TETLA NO 107                                                                              </t>
  </si>
  <si>
    <t xml:space="preserve">Cd. Industrial Xicohtencatl                                                                         </t>
  </si>
  <si>
    <t xml:space="preserve">Tetla, Tiaxcala           </t>
  </si>
  <si>
    <t xml:space="preserve">CLEMENCIA VIVEROS                       </t>
  </si>
  <si>
    <t xml:space="preserve">52 241 418 46 00    </t>
  </si>
  <si>
    <t xml:space="preserve">52 241 412 7291     </t>
  </si>
  <si>
    <t xml:space="preserve">FOB Juarez                    </t>
  </si>
  <si>
    <t xml:space="preserve">na                            </t>
  </si>
  <si>
    <t xml:space="preserve">GRAM04      </t>
  </si>
  <si>
    <t xml:space="preserve">1975 TECHNOLOGY DR                                                                                  </t>
  </si>
  <si>
    <t xml:space="preserve">                                                            </t>
  </si>
  <si>
    <t xml:space="preserve">IRVI02      </t>
  </si>
  <si>
    <t xml:space="preserve">2600 CENTER POINT PARKWAY                                                                           </t>
  </si>
  <si>
    <t xml:space="preserve">PONTIAC                   </t>
  </si>
  <si>
    <t xml:space="preserve">MARIA CLABORN                           </t>
  </si>
  <si>
    <t xml:space="preserve">JANET HAULER                            </t>
  </si>
  <si>
    <t xml:space="preserve">1 248 451 4216      </t>
  </si>
  <si>
    <t xml:space="preserve">1 248 253 7521      </t>
  </si>
  <si>
    <t>MFUEX</t>
  </si>
  <si>
    <t xml:space="preserve">IRVI02         </t>
  </si>
  <si>
    <t xml:space="preserve">IRVI03      </t>
  </si>
  <si>
    <t xml:space="preserve">2A FAWCETT DRIVE                                                                                    </t>
  </si>
  <si>
    <t xml:space="preserve">DEL RIO                   </t>
  </si>
  <si>
    <t xml:space="preserve">TX  </t>
  </si>
  <si>
    <t xml:space="preserve">LISA BETH RUMPL                         </t>
  </si>
  <si>
    <t xml:space="preserve">248 451 4276        </t>
  </si>
  <si>
    <t xml:space="preserve">248 451 4230        </t>
  </si>
  <si>
    <t xml:space="preserve">FOB SHIP POINT                </t>
  </si>
  <si>
    <t xml:space="preserve">NA                            </t>
  </si>
  <si>
    <t>MHI</t>
  </si>
  <si>
    <t xml:space="preserve">JITC01      </t>
  </si>
  <si>
    <t xml:space="preserve">PLANT#18232                                                                                         </t>
  </si>
  <si>
    <t xml:space="preserve">CALLE NEGRA MODELO #6A FRACC ALCE BLANCO                                                            </t>
  </si>
  <si>
    <t xml:space="preserve">NAUCALPA                  </t>
  </si>
  <si>
    <t xml:space="preserve">525 284 7224        </t>
  </si>
  <si>
    <t xml:space="preserve">525 284 7221        </t>
  </si>
  <si>
    <t xml:space="preserve">525 2847231         </t>
  </si>
  <si>
    <t xml:space="preserve">JITC01         </t>
  </si>
  <si>
    <t xml:space="preserve">JOHN01      </t>
  </si>
  <si>
    <t xml:space="preserve">EPSILON 6525                                                                                        </t>
  </si>
  <si>
    <t xml:space="preserve">PARQUE INDUSTRIAL OMEGA                                                                             </t>
  </si>
  <si>
    <t xml:space="preserve">JUAREZ                    </t>
  </si>
  <si>
    <t xml:space="preserve">RICARDO PEREZ                           </t>
  </si>
  <si>
    <t xml:space="preserve">01-55-5284-7154     </t>
  </si>
  <si>
    <t xml:space="preserve">01-55-5284-7210     </t>
  </si>
  <si>
    <t xml:space="preserve">RICARDO.PEREZ@JCI.COM         </t>
  </si>
  <si>
    <t xml:space="preserve">3-30318                       </t>
  </si>
  <si>
    <t xml:space="preserve">JOHN02      </t>
  </si>
  <si>
    <t xml:space="preserve">1320 Goodyear Dr                                                                                    </t>
  </si>
  <si>
    <t xml:space="preserve">El Paso                   </t>
  </si>
  <si>
    <t xml:space="preserve">U.S.A                                                       </t>
  </si>
  <si>
    <t xml:space="preserve">JOHN03      </t>
  </si>
  <si>
    <t xml:space="preserve">JOHNSON CONTROLS INC                                                                                </t>
  </si>
  <si>
    <t xml:space="preserve">SSC ACCOUNTS PAYABLE                                                                                </t>
  </si>
  <si>
    <t xml:space="preserve">EL PASO                   </t>
  </si>
  <si>
    <t xml:space="preserve">BETHANY SCOTT                           </t>
  </si>
  <si>
    <t xml:space="preserve">JOHN04      </t>
  </si>
  <si>
    <t xml:space="preserve">SSC ACCOUNTS PAYABLE -18438                                                                         </t>
  </si>
  <si>
    <t xml:space="preserve">PO BOX 981700                                                                                       </t>
  </si>
  <si>
    <t xml:space="preserve">MIKE CHOPSON                            </t>
  </si>
  <si>
    <t xml:space="preserve">KAMA01      </t>
  </si>
  <si>
    <t xml:space="preserve">17 BARSTOW ROAD                                                                                     </t>
  </si>
  <si>
    <t xml:space="preserve">KONG01      </t>
  </si>
  <si>
    <t xml:space="preserve">LAREDO FREIGHT - KONGSBERG AUTOMOTIVE                                                               </t>
  </si>
  <si>
    <t xml:space="preserve">9208 SOUTH CAGE BLVD                                                                                </t>
  </si>
  <si>
    <t xml:space="preserve">PHARR                     </t>
  </si>
  <si>
    <t xml:space="preserve"> DAVE SCHUTTER                          </t>
  </si>
  <si>
    <t xml:space="preserve">EXW                           </t>
  </si>
  <si>
    <t xml:space="preserve">KRAF01      </t>
  </si>
  <si>
    <t xml:space="preserve">955 GRAND OAKS DRIVE                                                                                </t>
  </si>
  <si>
    <t xml:space="preserve">HOWELL                    </t>
  </si>
  <si>
    <t xml:space="preserve">STEVE KRAFT                             </t>
  </si>
  <si>
    <t xml:space="preserve">517 545 7500        </t>
  </si>
  <si>
    <t xml:space="preserve">517 545 8199        </t>
  </si>
  <si>
    <t xml:space="preserve">KRAF01         </t>
  </si>
  <si>
    <t xml:space="preserve">LEAR05      </t>
  </si>
  <si>
    <t xml:space="preserve">1440 DON HASKINS                                                                                    </t>
  </si>
  <si>
    <t xml:space="preserve">915 499 4545        </t>
  </si>
  <si>
    <t xml:space="preserve">915 849 5610        </t>
  </si>
  <si>
    <t xml:space="preserve">HLD </t>
  </si>
  <si>
    <t xml:space="preserve">LEAR05         </t>
  </si>
  <si>
    <t xml:space="preserve">LEAR07      </t>
  </si>
  <si>
    <t xml:space="preserve">LEAR CORPORATION MEXICO SA DE CV                                                                    </t>
  </si>
  <si>
    <t xml:space="preserve">PO BOX 6323                                                                                         </t>
  </si>
  <si>
    <t xml:space="preserve">NOGALES                   </t>
  </si>
  <si>
    <t xml:space="preserve">AZ  </t>
  </si>
  <si>
    <t xml:space="preserve">DAVID RAMOS                             </t>
  </si>
  <si>
    <t xml:space="preserve">abn                           </t>
  </si>
  <si>
    <t xml:space="preserve">LEAT01      </t>
  </si>
  <si>
    <t xml:space="preserve">PO BOX 4178                                                                                         </t>
  </si>
  <si>
    <t xml:space="preserve">SOUTHFIELD                                                                                          </t>
  </si>
  <si>
    <t xml:space="preserve">WA  </t>
  </si>
  <si>
    <t>48086-4178</t>
  </si>
  <si>
    <t xml:space="preserve">CATHY SADLER                            </t>
  </si>
  <si>
    <t xml:space="preserve">LEAV01      </t>
  </si>
  <si>
    <t xml:space="preserve">9500 PLAZA CIRCLE                                                                                   </t>
  </si>
  <si>
    <t xml:space="preserve">P.O. BOX 17709                                                                                      </t>
  </si>
  <si>
    <t>79917-7709</t>
  </si>
  <si>
    <t xml:space="preserve">LEAW01      </t>
  </si>
  <si>
    <t xml:space="preserve">ATTN Accounts Payable                                                                               </t>
  </si>
  <si>
    <t xml:space="preserve">16630 Southfield Road, Suite 3100                                                                   </t>
  </si>
  <si>
    <t xml:space="preserve">Allen Park                </t>
  </si>
  <si>
    <t xml:space="preserve">Ms Daniela Olejnik                      </t>
  </si>
  <si>
    <t xml:space="preserve">1313 755 4909       </t>
  </si>
  <si>
    <t xml:space="preserve">1313 755 4898       </t>
  </si>
  <si>
    <t xml:space="preserve">Duty Paid                     </t>
  </si>
  <si>
    <t xml:space="preserve">LEAW01         </t>
  </si>
  <si>
    <t xml:space="preserve">LEGM01      </t>
  </si>
  <si>
    <t xml:space="preserve">5800 ENTERPRISE DRIVE                                                                               </t>
  </si>
  <si>
    <t xml:space="preserve">WARREN                    </t>
  </si>
  <si>
    <t xml:space="preserve">810 5780400         </t>
  </si>
  <si>
    <t xml:space="preserve">810 5780414         </t>
  </si>
  <si>
    <t xml:space="preserve">LFOR01      </t>
  </si>
  <si>
    <t xml:space="preserve">5250 AUTO CLUB DRIVE ANNEX                                                                          </t>
  </si>
  <si>
    <t xml:space="preserve">DEARBORN                  </t>
  </si>
  <si>
    <t xml:space="preserve">LILA MACKEY                             </t>
  </si>
  <si>
    <t xml:space="preserve">313 5939000         </t>
  </si>
  <si>
    <t xml:space="preserve">313 2535041         </t>
  </si>
  <si>
    <t xml:space="preserve">3-43790                       </t>
  </si>
  <si>
    <t xml:space="preserve">MAGN01      </t>
  </si>
  <si>
    <t xml:space="preserve">A DIV OF Magna Seating of America, Inc.                                                             </t>
  </si>
  <si>
    <t xml:space="preserve">540 SOUTH BIBB PMB #1                                                                               </t>
  </si>
  <si>
    <t xml:space="preserve">EAGLE PASS                </t>
  </si>
  <si>
    <t xml:space="preserve">DOUG DEATON                             </t>
  </si>
  <si>
    <t xml:space="preserve">011 52 86130319     </t>
  </si>
  <si>
    <t xml:space="preserve">MAGN02      </t>
  </si>
  <si>
    <t xml:space="preserve">2199 SPUR 239                                                                                       </t>
  </si>
  <si>
    <t xml:space="preserve">MAILING TO: P.O BOX 420699                                                                          </t>
  </si>
  <si>
    <t xml:space="preserve">MAGN02         </t>
  </si>
  <si>
    <t xml:space="preserve">MAGN03      </t>
  </si>
  <si>
    <t xml:space="preserve">P.O. BOX 420699                                                                                     </t>
  </si>
  <si>
    <t xml:space="preserve">MARILY BURKE                            </t>
  </si>
  <si>
    <t xml:space="preserve">MAGN04      </t>
  </si>
  <si>
    <t xml:space="preserve">MAYS01      </t>
  </si>
  <si>
    <t xml:space="preserve">445 E. VAN RIPER                                                                                    </t>
  </si>
  <si>
    <t xml:space="preserve">FOWLERVILLE, MI           </t>
  </si>
  <si>
    <t xml:space="preserve">LISA FIRTH                              </t>
  </si>
  <si>
    <t xml:space="preserve">(517) 223-6734      </t>
  </si>
  <si>
    <t xml:space="preserve">(517)223-1331       </t>
  </si>
  <si>
    <t xml:space="preserve">AMEX           </t>
  </si>
  <si>
    <t xml:space="preserve">MAYS01         </t>
  </si>
  <si>
    <t xml:space="preserve">MAZC01      </t>
  </si>
  <si>
    <t xml:space="preserve">305 MILNER AVENUE,                                                                                  </t>
  </si>
  <si>
    <t xml:space="preserve">SUITE 400                                                                                           </t>
  </si>
  <si>
    <t xml:space="preserve">SCARBOROUGH               </t>
  </si>
  <si>
    <t xml:space="preserve">ONT </t>
  </si>
  <si>
    <t xml:space="preserve">MIB 3V4   </t>
  </si>
  <si>
    <t xml:space="preserve">VITO PALADINO                           </t>
  </si>
  <si>
    <t xml:space="preserve">MAZN01      </t>
  </si>
  <si>
    <t xml:space="preserve">7755 IRVINE CENTRE DRIVE                                                                            </t>
  </si>
  <si>
    <t xml:space="preserve">IRVINE                    </t>
  </si>
  <si>
    <t xml:space="preserve">CA  </t>
  </si>
  <si>
    <t>92618-2922</t>
  </si>
  <si>
    <t xml:space="preserve">MIHO NAKATANI                           </t>
  </si>
  <si>
    <t xml:space="preserve">MCDO01      </t>
  </si>
  <si>
    <t xml:space="preserve">SUITE 1 SOUTHPORT CHASE                                                                             </t>
  </si>
  <si>
    <t xml:space="preserve">19 EXPO COURT                                                                                       </t>
  </si>
  <si>
    <t xml:space="preserve">SOUTHPORT                 </t>
  </si>
  <si>
    <t xml:space="preserve">QLD </t>
  </si>
  <si>
    <t xml:space="preserve">AUSTRALIA                                                   </t>
  </si>
  <si>
    <t xml:space="preserve">(07) 5591 4911      </t>
  </si>
  <si>
    <t xml:space="preserve">(07) 5591 4983      </t>
  </si>
  <si>
    <t xml:space="preserve">ABN                           </t>
  </si>
  <si>
    <t xml:space="preserve">MCDO02      </t>
  </si>
  <si>
    <t xml:space="preserve">07 5591 4911        </t>
  </si>
  <si>
    <t xml:space="preserve">07 5591 4983        </t>
  </si>
  <si>
    <t xml:space="preserve">MEXI02      </t>
  </si>
  <si>
    <t xml:space="preserve">ATT : PATTY ODELL                                                                                   </t>
  </si>
  <si>
    <t xml:space="preserve">1801 HOWARD STREET                                                                                  </t>
  </si>
  <si>
    <t xml:space="preserve">DETROIT                   </t>
  </si>
  <si>
    <t xml:space="preserve">PATTY O'DELL                            </t>
  </si>
  <si>
    <t xml:space="preserve">313 963 6114        </t>
  </si>
  <si>
    <t xml:space="preserve">313 963 6217        </t>
  </si>
  <si>
    <t xml:space="preserve">MEXI02         </t>
  </si>
  <si>
    <t xml:space="preserve">MORI01      </t>
  </si>
  <si>
    <t xml:space="preserve">915 WESTERN DRIVE                                                                                   </t>
  </si>
  <si>
    <t xml:space="preserve">INDIANAPOLIS              </t>
  </si>
  <si>
    <t xml:space="preserve">IN  </t>
  </si>
  <si>
    <t xml:space="preserve">Mr. Kurt Greaser                        </t>
  </si>
  <si>
    <t xml:space="preserve">0011 1 317 484 5555 </t>
  </si>
  <si>
    <t xml:space="preserve">0015 1 317 484 5565 </t>
  </si>
  <si>
    <t xml:space="preserve">MORI01         </t>
  </si>
  <si>
    <t xml:space="preserve">ONTA01      </t>
  </si>
  <si>
    <t xml:space="preserve">993 BUCKSKIN WAY                                                                                    </t>
  </si>
  <si>
    <t xml:space="preserve">ORLEANS                                                                                             </t>
  </si>
  <si>
    <t xml:space="preserve">ONTARIO K1C               </t>
  </si>
  <si>
    <t xml:space="preserve">2Y7       </t>
  </si>
  <si>
    <t>SEA</t>
  </si>
  <si>
    <t xml:space="preserve">L/C                           </t>
  </si>
  <si>
    <t>THI</t>
  </si>
  <si>
    <t xml:space="preserve">PEARL01     </t>
  </si>
  <si>
    <t xml:space="preserve">390 PLANDOME ROAD                                                                                   </t>
  </si>
  <si>
    <t xml:space="preserve">MANHASSET                 </t>
  </si>
  <si>
    <t xml:space="preserve">SELENA LAU                              </t>
  </si>
  <si>
    <t xml:space="preserve">516-627-4067        </t>
  </si>
  <si>
    <t xml:space="preserve">PLFNY1      </t>
  </si>
  <si>
    <t xml:space="preserve">11-21 INDUSTRIAL PARK                                                                               </t>
  </si>
  <si>
    <t xml:space="preserve">JOHNSTOWN                 </t>
  </si>
  <si>
    <t xml:space="preserve">JOHN RUGGIERO                           </t>
  </si>
  <si>
    <t xml:space="preserve">518-762-4543        </t>
  </si>
  <si>
    <t xml:space="preserve">jruggiero@pearlleather.com              </t>
  </si>
  <si>
    <t xml:space="preserve">PSALES      </t>
  </si>
  <si>
    <t xml:space="preserve">523 ARGYLE                                                                                          </t>
  </si>
  <si>
    <t xml:space="preserve">BIRMINGHAM                </t>
  </si>
  <si>
    <t xml:space="preserve">BILL REID                               </t>
  </si>
  <si>
    <t xml:space="preserve">248-505-7417        </t>
  </si>
  <si>
    <t xml:space="preserve">william.a.reid@att.net                  </t>
  </si>
  <si>
    <t xml:space="preserve">TECH01      </t>
  </si>
  <si>
    <t xml:space="preserve">42015 FORD ROAD BOX 358                                                                             </t>
  </si>
  <si>
    <t xml:space="preserve">CANTON                    </t>
  </si>
  <si>
    <t>48187-3669</t>
  </si>
  <si>
    <t xml:space="preserve">CECILIA RODRIGUEZ                       </t>
  </si>
  <si>
    <t xml:space="preserve">TENN01      </t>
  </si>
  <si>
    <t xml:space="preserve">2262 SAN JUAN DRIVE                                                                                 </t>
  </si>
  <si>
    <t xml:space="preserve">EAGLE PASS                                                                                          </t>
  </si>
  <si>
    <t xml:space="preserve">NORMA GUTIERREZ                         </t>
  </si>
  <si>
    <t>MPF</t>
  </si>
  <si>
    <t xml:space="preserve">UNIV01      </t>
  </si>
  <si>
    <t xml:space="preserve">PO BOX 71541                                                                                        </t>
  </si>
  <si>
    <t xml:space="preserve">MADISON HEIGHTS           </t>
  </si>
  <si>
    <t>48071-0541</t>
  </si>
  <si>
    <t xml:space="preserve">MARY KEHOE                              </t>
  </si>
  <si>
    <t xml:space="preserve">248 5869118         </t>
  </si>
  <si>
    <t xml:space="preserve">248 6425154         </t>
  </si>
  <si>
    <t xml:space="preserve">UNIV01A        </t>
  </si>
  <si>
    <t xml:space="preserve">VALT01      </t>
  </si>
  <si>
    <t xml:space="preserve">FRAY GARCIA DE SAN FRANCISCO NO. 880                                                                </t>
  </si>
  <si>
    <t xml:space="preserve">COL. BELLAVISTA                                                                                     </t>
  </si>
  <si>
    <t xml:space="preserve">RICARDO VALTIERRA                       </t>
  </si>
  <si>
    <t xml:space="preserve">JZ </t>
  </si>
  <si>
    <t xml:space="preserve">VISU01      </t>
  </si>
  <si>
    <t xml:space="preserve">41000 WOODWARD AVENUE                                                                               </t>
  </si>
  <si>
    <t xml:space="preserve">BLOOMFIELD HILLS          </t>
  </si>
  <si>
    <t>48304-2263</t>
  </si>
  <si>
    <t xml:space="preserve">WOOD01      </t>
  </si>
  <si>
    <t xml:space="preserve">SALTILLO MONTERREY  KM1150                                                                          </t>
  </si>
  <si>
    <t xml:space="preserve">PARQUE INDUSTRIAL RAMOS ARIZPE                                                                      </t>
  </si>
  <si>
    <t xml:space="preserve">RAMOS ARIZPE              </t>
  </si>
  <si>
    <t>COAH</t>
  </si>
  <si>
    <t xml:space="preserve">BRIAN TANNER                            </t>
  </si>
  <si>
    <t xml:space="preserve">519 676 3626        </t>
  </si>
  <si>
    <t xml:space="preserve">313 982 9198        </t>
  </si>
  <si>
    <t xml:space="preserve">WPI003      </t>
  </si>
  <si>
    <t xml:space="preserve">WILLIAMSTON PRODUCTS,INC                                                                            </t>
  </si>
  <si>
    <t xml:space="preserve">845 PROGRESS CT                                                                                     </t>
  </si>
  <si>
    <t xml:space="preserve">WILLIAMSTON               </t>
  </si>
  <si>
    <t xml:space="preserve">YANG02      </t>
  </si>
  <si>
    <t xml:space="preserve">1935 WEST 12 MILE ROAD NOVI, MI 48377                                                               </t>
  </si>
  <si>
    <t xml:space="preserve">ROAD NOV                  </t>
  </si>
  <si>
    <t xml:space="preserve">YANG03      </t>
  </si>
  <si>
    <t xml:space="preserve">700/20 WHA EASTERN SEABOARD INDUSTRIAL                                                              </t>
  </si>
  <si>
    <t xml:space="preserve">1 MOO 7 TAMBOL KAOKANSONG, AMPHUR SRIRACH                                                           </t>
  </si>
  <si>
    <t xml:space="preserve"> CHONBURI                 </t>
  </si>
  <si>
    <t xml:space="preserve">700/20    </t>
  </si>
  <si>
    <t xml:space="preserve">THAILAND TAX ID:0205562018045                               </t>
  </si>
  <si>
    <t xml:space="preserve">MR. ZHANG WENKANG                       </t>
  </si>
  <si>
    <t xml:space="preserve">86 1306181 8985     </t>
  </si>
  <si>
    <t xml:space="preserve">YANG04      </t>
  </si>
  <si>
    <t xml:space="preserve">1 MOO 7 TAMBOL KAOKANSONG,AMPHUR SRIRACH                                                            </t>
  </si>
  <si>
    <t xml:space="preserve">THAILAND                                                    </t>
  </si>
  <si>
    <t xml:space="preserve">YUENYONG NATTIDA                        </t>
  </si>
  <si>
    <t>[K_CUSTOMER]</t>
  </si>
  <si>
    <t>[D_CUSTOMER]</t>
  </si>
  <si>
    <t>[C_CUSTOMER]</t>
  </si>
  <si>
    <t>[S_CUSTOMER]</t>
  </si>
  <si>
    <t>[K_COUNTRY]</t>
  </si>
  <si>
    <t>[K_STATE_GEO]</t>
  </si>
  <si>
    <t>[CUSTOMER_CITY]</t>
  </si>
  <si>
    <t>[D_CUSTOMER_ADDRESS_01]</t>
  </si>
  <si>
    <t>[D_CUSTOMER_ADDRESS_02]</t>
  </si>
  <si>
    <t>[CUSTOMER_POSTAL_CODE]</t>
  </si>
  <si>
    <t>[F_CUSTOMER_DATE]</t>
  </si>
  <si>
    <t>[O_CUSTOMER]</t>
  </si>
  <si>
    <t>[L_CUSTOMER]</t>
  </si>
  <si>
    <t>[VARCHAR](500)</t>
  </si>
  <si>
    <t>[VARCHAR](10)</t>
  </si>
  <si>
    <t>[VARCHAR](100)</t>
  </si>
  <si>
    <t>[DATE]</t>
  </si>
  <si>
    <t>(NO-Customer)</t>
  </si>
  <si>
    <t>ADIENT US LLC</t>
  </si>
  <si>
    <t>AUTOMOTIVE LEATHER GROUP</t>
  </si>
  <si>
    <t>BILTMORE CORPORATION</t>
  </si>
  <si>
    <t>BAILEY MANAGEMENT CONSULTING SERVICES</t>
  </si>
  <si>
    <t>CASH SALES MEXICO</t>
  </si>
  <si>
    <t>RECICLADOS ECOLOGICOS DIVERSOS</t>
  </si>
  <si>
    <t>CNI INC</t>
  </si>
  <si>
    <t>DAIMAY AUTOMOTIVE INTERIOR, S. DE R.L. D</t>
  </si>
  <si>
    <t>EBINGER BROTHERS LEATHER COMPANY</t>
  </si>
  <si>
    <t>Eissmann Automotive de Mexico</t>
  </si>
  <si>
    <t>ENSAMBLE DE INTERIORES AUTOMOTRICES</t>
  </si>
  <si>
    <t>FAURECIA AUTOMOTIVE SEATING INC.</t>
  </si>
  <si>
    <t>FINDLAY INDUSTRIES*********</t>
  </si>
  <si>
    <t>FINDLAY INDUSTRIES (FLORIDA)***********</t>
  </si>
  <si>
    <t>GLOBALTEX 2000 LTD</t>
  </si>
  <si>
    <t>GRAMMER AUTOMOTIVE PUEBLA</t>
  </si>
  <si>
    <t>GRAMMER INDUSTRIES, INC</t>
  </si>
  <si>
    <t>IRVIN AUTOMOTIVE PRODUCTS -PONTIAC</t>
  </si>
  <si>
    <t>IRVIN AUTOMOTIVE</t>
  </si>
  <si>
    <t>AUTOSEAT S.A. DE C.V.</t>
  </si>
  <si>
    <t>JCIM MEXICO PROPERTIES,S.de R.L.</t>
  </si>
  <si>
    <t>Johnson Control Interiors LLC</t>
  </si>
  <si>
    <t>JOHNSON CONTROLS-EDIASA 3</t>
  </si>
  <si>
    <t>JOHNSON CONTROL SHANGAI</t>
  </si>
  <si>
    <t>KAMALI GROUP INCORPORATED</t>
  </si>
  <si>
    <t>KONGSBERG AUTOMOTIVE</t>
  </si>
  <si>
    <t>KRAFT AUTOMOTIVE GROUP, INC</t>
  </si>
  <si>
    <t>LEAR NAB CORPORATION (FAVESA)</t>
  </si>
  <si>
    <t>LEAR HERMOSILLO</t>
  </si>
  <si>
    <t>LEAR TECHNOLOGIES, LLC</t>
  </si>
  <si>
    <t>LEAR MEXICAN SEATING CORP</t>
  </si>
  <si>
    <t>Leatherworks LLC</t>
  </si>
  <si>
    <t>LEAR CORPORATION - GM DIVISION</t>
  </si>
  <si>
    <t>LEAR CORP FORD DIVISION</t>
  </si>
  <si>
    <t>SEATING SYSTEMS OF SABINAS</t>
  </si>
  <si>
    <t>MAGNA SEATING OF AMERICA INC (ACUÑA)</t>
  </si>
  <si>
    <t>SEATING SYS.OF ACUNA DIV INTIER AUTO</t>
  </si>
  <si>
    <t>MAGNA SEATING</t>
  </si>
  <si>
    <t>MAY &amp; SCOFIELD</t>
  </si>
  <si>
    <t>MAZDA CANADA INC</t>
  </si>
  <si>
    <t>MAZDA NORTH AMERICAN OPERATION</t>
  </si>
  <si>
    <t>MCDONALD EXP-DO NOT USE</t>
  </si>
  <si>
    <t>MCDONALD EXPORTS (AUST) P/L</t>
  </si>
  <si>
    <t>MEXICAN INDUSTRIES**DO NOT USE**</t>
  </si>
  <si>
    <t>MORIDEN AMERICA, INC.</t>
  </si>
  <si>
    <t>1004274 ONTARIO LTD</t>
  </si>
  <si>
    <t>PEARL LEATHER GROUP LLC</t>
  </si>
  <si>
    <t>PEARL LEATHER FINISHERS</t>
  </si>
  <si>
    <t>PEARL LEATHER SALES</t>
  </si>
  <si>
    <t>TECHNOTRIM</t>
  </si>
  <si>
    <t>TENNMEX INC</t>
  </si>
  <si>
    <t>UNIVERSAL TRIM INC</t>
  </si>
  <si>
    <t>RICARDO VALTIERRA HERNANDEZ</t>
  </si>
  <si>
    <t>VISUAL SERVICES</t>
  </si>
  <si>
    <t>WOODBRIDGE FOAM CORPORATION</t>
  </si>
  <si>
    <t>WPI</t>
  </si>
  <si>
    <t>YANFENG AUTOMOTIVE INTERIOR</t>
  </si>
  <si>
    <t>YANGFENG AUTOMOTIVE INTERIOR SYSTEMS(THAILAND) CO.,LTD</t>
  </si>
  <si>
    <t>YANFENG AUTOMOTIVE INTER S. (THAILAND)</t>
  </si>
  <si>
    <t/>
  </si>
  <si>
    <t>DAIMAY AUTOMOTIVE INTE</t>
  </si>
  <si>
    <t>EISSMANN AUTOMOTIVE DE MEXICO</t>
  </si>
  <si>
    <t>FINDLAY INDUSTRIES*************</t>
  </si>
  <si>
    <t>FINDLAY INDUSTRIES (FLORIDA)************</t>
  </si>
  <si>
    <t>JAROPAMEX ACUNA, PLANT1</t>
  </si>
  <si>
    <t>JOHNSON CONTROLS MEXICO</t>
  </si>
  <si>
    <t>JOHNSON CONTROL INTERIORS LLC</t>
  </si>
  <si>
    <t>LEAR RIO BRAVO</t>
  </si>
  <si>
    <t>LEATHERWORKS LLC</t>
  </si>
  <si>
    <t>MAGNA SEATING OF AMERICA</t>
  </si>
  <si>
    <t>MAGNA SEATING SYSTEMS OF ACUNA</t>
  </si>
  <si>
    <t>MAGNA SEATING OF AMERICA INC</t>
  </si>
  <si>
    <t>MCDONALD EXPORTS -DO NOT USE</t>
  </si>
  <si>
    <t>MORIDEN</t>
  </si>
  <si>
    <t>ONTARIO LTD</t>
  </si>
  <si>
    <t xml:space="preserve">ADIE01    </t>
  </si>
  <si>
    <t>ADIE01</t>
  </si>
  <si>
    <t>ALGRP1</t>
  </si>
  <si>
    <t>BILT01</t>
  </si>
  <si>
    <t>BMCS01</t>
  </si>
  <si>
    <t>CASH01</t>
  </si>
  <si>
    <t>CASH02</t>
  </si>
  <si>
    <t>CNII01</t>
  </si>
  <si>
    <t>DAIM05</t>
  </si>
  <si>
    <t>EBIN01</t>
  </si>
  <si>
    <t>EISS01</t>
  </si>
  <si>
    <t>ENSA01</t>
  </si>
  <si>
    <t>FAUR01</t>
  </si>
  <si>
    <t>FIND01</t>
  </si>
  <si>
    <t>FIND02</t>
  </si>
  <si>
    <t>GLOB01</t>
  </si>
  <si>
    <t>GRAM01</t>
  </si>
  <si>
    <t>GRAM04</t>
  </si>
  <si>
    <t>IRVI02</t>
  </si>
  <si>
    <t>IRVI03</t>
  </si>
  <si>
    <t>JITC01</t>
  </si>
  <si>
    <t>JOHN01</t>
  </si>
  <si>
    <t>JOHN02</t>
  </si>
  <si>
    <t>JOHN03</t>
  </si>
  <si>
    <t>JOHN04</t>
  </si>
  <si>
    <t>KAMA01</t>
  </si>
  <si>
    <t>KONG01</t>
  </si>
  <si>
    <t>KRAF01</t>
  </si>
  <si>
    <t>LEAR05</t>
  </si>
  <si>
    <t>LEAR07</t>
  </si>
  <si>
    <t>LEAT01</t>
  </si>
  <si>
    <t>LEAV01</t>
  </si>
  <si>
    <t>LEAW01</t>
  </si>
  <si>
    <t>LEGM01</t>
  </si>
  <si>
    <t>LFOR01</t>
  </si>
  <si>
    <t>MAGN01</t>
  </si>
  <si>
    <t>MAGN02</t>
  </si>
  <si>
    <t>MAGN03</t>
  </si>
  <si>
    <t>MAGN04</t>
  </si>
  <si>
    <t>MAYS01</t>
  </si>
  <si>
    <t>MAZC01</t>
  </si>
  <si>
    <t>MAZN01</t>
  </si>
  <si>
    <t>MCDO01</t>
  </si>
  <si>
    <t>MCDO02</t>
  </si>
  <si>
    <t>MEXI02</t>
  </si>
  <si>
    <t>MORI01</t>
  </si>
  <si>
    <t>ONTA01</t>
  </si>
  <si>
    <t>PEARL01</t>
  </si>
  <si>
    <t>PLFNY1</t>
  </si>
  <si>
    <t>PSALES</t>
  </si>
  <si>
    <t>TECH01</t>
  </si>
  <si>
    <t>TENN01</t>
  </si>
  <si>
    <t>UNIV01</t>
  </si>
  <si>
    <t>VALT01</t>
  </si>
  <si>
    <t>VISU01</t>
  </si>
  <si>
    <t>WOOD01</t>
  </si>
  <si>
    <t>WPI003</t>
  </si>
  <si>
    <t>YANG02</t>
  </si>
  <si>
    <t>YANG03</t>
  </si>
  <si>
    <t>YANG04</t>
  </si>
  <si>
    <t>PLYMOUTH</t>
  </si>
  <si>
    <t>GREAT NECK STATES</t>
  </si>
  <si>
    <t>GREAT NECK</t>
  </si>
  <si>
    <t>ONTARIO</t>
  </si>
  <si>
    <t>CD. JUAREZ</t>
  </si>
  <si>
    <t>TROY</t>
  </si>
  <si>
    <t>RAMOS ARZIPE</t>
  </si>
  <si>
    <t>MASSACHUSETTS</t>
  </si>
  <si>
    <t>Panzacola</t>
  </si>
  <si>
    <t>CD JUAREZ, CHIH.</t>
  </si>
  <si>
    <t>AUBURN HILLS</t>
  </si>
  <si>
    <t>OHIO</t>
  </si>
  <si>
    <t>FLORIDA</t>
  </si>
  <si>
    <t>Tetla, Tiaxcala</t>
  </si>
  <si>
    <t>PONTIAC</t>
  </si>
  <si>
    <t>DEL RIO</t>
  </si>
  <si>
    <t>NAUCALPA</t>
  </si>
  <si>
    <t>El Paso</t>
  </si>
  <si>
    <t>EL PASO</t>
  </si>
  <si>
    <t>PHARR</t>
  </si>
  <si>
    <t>HOWELL</t>
  </si>
  <si>
    <t>NOGALES</t>
  </si>
  <si>
    <t>Allen Park</t>
  </si>
  <si>
    <t>WARREN</t>
  </si>
  <si>
    <t>DEARBORN</t>
  </si>
  <si>
    <t>EAGLE PASS</t>
  </si>
  <si>
    <t>FOWLERVILLE, MI</t>
  </si>
  <si>
    <t>SCARBOROUGH</t>
  </si>
  <si>
    <t>IRVINE</t>
  </si>
  <si>
    <t>SOUTHPORT</t>
  </si>
  <si>
    <t>DETROIT</t>
  </si>
  <si>
    <t>INDIANAPOLIS</t>
  </si>
  <si>
    <t>ONTARIO K1C</t>
  </si>
  <si>
    <t>MANHASSET</t>
  </si>
  <si>
    <t>JOHNSTOWN</t>
  </si>
  <si>
    <t>BIRMINGHAM</t>
  </si>
  <si>
    <t>CANTON</t>
  </si>
  <si>
    <t>MADISON HEIGHTS</t>
  </si>
  <si>
    <t>BLOOMFIELD HILLS</t>
  </si>
  <si>
    <t>RAMOS ARIZPE</t>
  </si>
  <si>
    <t>WILLIAMSTON</t>
  </si>
  <si>
    <t>ROAD NOV</t>
  </si>
  <si>
    <t>CHONBURI</t>
  </si>
  <si>
    <t>FOWLERVILLE</t>
  </si>
  <si>
    <t>49200 HALYARD DRIVE.PLYMOUTH,</t>
  </si>
  <si>
    <t>17 BARSTOWN ROAD</t>
  </si>
  <si>
    <t>17 BARSTOW RD.</t>
  </si>
  <si>
    <t>163 HERITAGE ROAD</t>
  </si>
  <si>
    <t>CALLE PASCUAL OROZCO 591</t>
  </si>
  <si>
    <t>1148 ROCHESTER ROAD</t>
  </si>
  <si>
    <t>AVE. CENZONTLE ESQ. HALCON</t>
  </si>
  <si>
    <t>44 MITCHELL ROAD</t>
  </si>
  <si>
    <t>Reforma Sur No. 27</t>
  </si>
  <si>
    <t>BLVD. OSCAR FLORES 4250</t>
  </si>
  <si>
    <t>TROY_1402</t>
  </si>
  <si>
    <t>4000 FOSTORIA ROAD</t>
  </si>
  <si>
    <t>PO BOX 1350</t>
  </si>
  <si>
    <t>UNIT C/735 PRINCE ROAD</t>
  </si>
  <si>
    <t>BOULEVARD TETLA NO 107</t>
  </si>
  <si>
    <t>1975 TECHNOLOGY DR</t>
  </si>
  <si>
    <t>2600 CENTER POINT PARKWAY</t>
  </si>
  <si>
    <t>2A FAWCETT DRIVE</t>
  </si>
  <si>
    <t>PLANT#18232</t>
  </si>
  <si>
    <t>EPSILON 6525</t>
  </si>
  <si>
    <t>1320 Goodyear Dr</t>
  </si>
  <si>
    <t>JOHNSON CONTROLS INC</t>
  </si>
  <si>
    <t>SSC ACCOUNTS PAYABLE -18438</t>
  </si>
  <si>
    <t>17 BARSTOW ROAD</t>
  </si>
  <si>
    <t>LAREDO FREIGHT - KONGSBERG AUTOMOTIVE</t>
  </si>
  <si>
    <t>955 GRAND OAKS DRIVE</t>
  </si>
  <si>
    <t>1440 DON HASKINS</t>
  </si>
  <si>
    <t>LEAR CORPORATION MEXICO SA DE CV</t>
  </si>
  <si>
    <t>PO BOX 4178</t>
  </si>
  <si>
    <t>9500 PLAZA CIRCLE</t>
  </si>
  <si>
    <t>ATTN Accounts Payable</t>
  </si>
  <si>
    <t>5800 ENTERPRISE DRIVE</t>
  </si>
  <si>
    <t>5250 AUTO CLUB DRIVE ANNEX</t>
  </si>
  <si>
    <t>A DIV OF Magna Seating of America, Inc.</t>
  </si>
  <si>
    <t>2199 SPUR 239</t>
  </si>
  <si>
    <t>445 E. VAN RIPER</t>
  </si>
  <si>
    <t>305 MILNER AVENUE,</t>
  </si>
  <si>
    <t>7755 IRVINE CENTRE DRIVE</t>
  </si>
  <si>
    <t>SUITE 1 SOUTHPORT CHASE</t>
  </si>
  <si>
    <t>ATT : PATTY ODELL</t>
  </si>
  <si>
    <t>915 WESTERN DRIVE</t>
  </si>
  <si>
    <t>993 BUCKSKIN WAY</t>
  </si>
  <si>
    <t>390 PLANDOME ROAD</t>
  </si>
  <si>
    <t>11-21 INDUSTRIAL PARK</t>
  </si>
  <si>
    <t>523 ARGYLE</t>
  </si>
  <si>
    <t>42015 FORD ROAD BOX 358</t>
  </si>
  <si>
    <t>2262 SAN JUAN DRIVE</t>
  </si>
  <si>
    <t>PO BOX 71541</t>
  </si>
  <si>
    <t>FRAY GARCIA DE SAN FRANCISCO NO. 880</t>
  </si>
  <si>
    <t>41000 WOODWARD AVENUE</t>
  </si>
  <si>
    <t>SALTILLO MONTERREY KM1150</t>
  </si>
  <si>
    <t>WILLIAMSTON PRODUCTS,INC</t>
  </si>
  <si>
    <t>1935 WEST 12 MILE ROAD NOVI, MI 48377</t>
  </si>
  <si>
    <t>700/20 WHA EASTERN SEABOARD INDUSTRIAL</t>
  </si>
  <si>
    <t>TETLA</t>
  </si>
  <si>
    <t>PANZACOLA</t>
  </si>
  <si>
    <t>ALLEN PARK</t>
  </si>
  <si>
    <t>SUITE 206</t>
  </si>
  <si>
    <t>KINGSVILLE</t>
  </si>
  <si>
    <t>COL. SANTA MARIA</t>
  </si>
  <si>
    <t>CARRETERA MONCLOVA #7</t>
  </si>
  <si>
    <t>IPSWICH</t>
  </si>
  <si>
    <t>Nave 1</t>
  </si>
  <si>
    <t>FINDLAY 0410 45840</t>
  </si>
  <si>
    <t>LAKE WALES</t>
  </si>
  <si>
    <t>WINDSOR</t>
  </si>
  <si>
    <t>Cd. Industrial Xicohtencatl</t>
  </si>
  <si>
    <t>CALLE NEGRA MODELO #6A FRACC ALCE BLANCO</t>
  </si>
  <si>
    <t>PARQUE INDUSTRIAL OMEGA</t>
  </si>
  <si>
    <t>SSC ACCOUNTS PAYABLE</t>
  </si>
  <si>
    <t>PO BOX 981700</t>
  </si>
  <si>
    <t>9208 SOUTH CAGE BLVD</t>
  </si>
  <si>
    <t>PO BOX 6323</t>
  </si>
  <si>
    <t>SOUTHFIELD</t>
  </si>
  <si>
    <t>P.O. BOX 17709</t>
  </si>
  <si>
    <t>16630 Southfield Road, Suite 3100</t>
  </si>
  <si>
    <t>540 SOUTH BIBB PMB #1</t>
  </si>
  <si>
    <t>MAILING TO: P.O BOX 420699</t>
  </si>
  <si>
    <t>P.O. BOX 420699</t>
  </si>
  <si>
    <t>SUITE 400</t>
  </si>
  <si>
    <t>19 EXPO COURT</t>
  </si>
  <si>
    <t>1801 HOWARD STREET</t>
  </si>
  <si>
    <t>ORLEANS</t>
  </si>
  <si>
    <t>COL. BELLAVISTA</t>
  </si>
  <si>
    <t>PARQUE INDUSTRIAL RAMOS ARIZPE</t>
  </si>
  <si>
    <t>845 PROGRESS CT</t>
  </si>
  <si>
    <t>1 MOO 7 TAMBOL KAOKANSONG, AMPHUR SRIRACH</t>
  </si>
  <si>
    <t>1 MOO 7 TAMBOL KAOKANSONG,AMPHUR SRIRACH</t>
  </si>
  <si>
    <t>49200</t>
  </si>
  <si>
    <t>11021</t>
  </si>
  <si>
    <t>N9Y 2C7</t>
  </si>
  <si>
    <t>CP 32676</t>
  </si>
  <si>
    <t>48083</t>
  </si>
  <si>
    <t>1938</t>
  </si>
  <si>
    <t>90796</t>
  </si>
  <si>
    <t>32650</t>
  </si>
  <si>
    <t>48321</t>
  </si>
  <si>
    <t>45840</t>
  </si>
  <si>
    <t>33853</t>
  </si>
  <si>
    <t>N9C2Z2</t>
  </si>
  <si>
    <t>90434</t>
  </si>
  <si>
    <t>48341</t>
  </si>
  <si>
    <t>78840</t>
  </si>
  <si>
    <t>53370</t>
  </si>
  <si>
    <t>32320</t>
  </si>
  <si>
    <t>79936</t>
  </si>
  <si>
    <t>981700</t>
  </si>
  <si>
    <t>79998</t>
  </si>
  <si>
    <t>78577</t>
  </si>
  <si>
    <t>48843</t>
  </si>
  <si>
    <t>85621</t>
  </si>
  <si>
    <t>48101</t>
  </si>
  <si>
    <t>48092</t>
  </si>
  <si>
    <t>48126</t>
  </si>
  <si>
    <t>78852</t>
  </si>
  <si>
    <t>48836</t>
  </si>
  <si>
    <t>MIB 3V4</t>
  </si>
  <si>
    <t>4215</t>
  </si>
  <si>
    <t>48216</t>
  </si>
  <si>
    <t>46241</t>
  </si>
  <si>
    <t>2Y7</t>
  </si>
  <si>
    <t>11030</t>
  </si>
  <si>
    <t>12095</t>
  </si>
  <si>
    <t>48009</t>
  </si>
  <si>
    <t>32000</t>
  </si>
  <si>
    <t>25900</t>
  </si>
  <si>
    <t>48895</t>
  </si>
  <si>
    <t>48152</t>
  </si>
  <si>
    <t>700/20</t>
  </si>
  <si>
    <t>2015-08-31</t>
  </si>
  <si>
    <t>2016-12-08</t>
  </si>
  <si>
    <t>2001-10-08</t>
  </si>
  <si>
    <t>2002-01-28</t>
  </si>
  <si>
    <t>2013-01-15</t>
  </si>
  <si>
    <t>1998-05-22</t>
  </si>
  <si>
    <t>2020-02-05</t>
  </si>
  <si>
    <t>2001-02-12</t>
  </si>
  <si>
    <t>2020-09-01</t>
  </si>
  <si>
    <t>2001-06-07</t>
  </si>
  <si>
    <t>2019-11-11</t>
  </si>
  <si>
    <t>1999-09-02</t>
  </si>
  <si>
    <t>2000-03-23</t>
  </si>
  <si>
    <t>2008-02-06</t>
  </si>
  <si>
    <t>2019-11-19</t>
  </si>
  <si>
    <t>2001-07-25</t>
  </si>
  <si>
    <t>2003-11-06</t>
  </si>
  <si>
    <t>1999-11-11</t>
  </si>
  <si>
    <t>2002-01-22</t>
  </si>
  <si>
    <t>2001-03-04</t>
  </si>
  <si>
    <t>2006-12-20</t>
  </si>
  <si>
    <t>2007-01-18</t>
  </si>
  <si>
    <t>2015-12-07</t>
  </si>
  <si>
    <t>2008-01-29</t>
  </si>
  <si>
    <t>2001-04-26</t>
  </si>
  <si>
    <t>1998-05-25</t>
  </si>
  <si>
    <t>2001-10-18</t>
  </si>
  <si>
    <t>2000-03-09</t>
  </si>
  <si>
    <t>1999-02-25</t>
  </si>
  <si>
    <t>2001-08-22</t>
  </si>
  <si>
    <t>1999-11-19</t>
  </si>
  <si>
    <t>1999-04-30</t>
  </si>
  <si>
    <t>1999-11-12</t>
  </si>
  <si>
    <t>2000-02-01</t>
  </si>
  <si>
    <t>2000-07-28</t>
  </si>
  <si>
    <t>2008-03-05</t>
  </si>
  <si>
    <t>2000-03-22</t>
  </si>
  <si>
    <t>2001-08-03</t>
  </si>
  <si>
    <t>1998-11-30</t>
  </si>
  <si>
    <t>1998-07-01</t>
  </si>
  <si>
    <t>2000-06-22</t>
  </si>
  <si>
    <t>2013-01-24</t>
  </si>
  <si>
    <t>2000-01-31</t>
  </si>
  <si>
    <t>2005-08-15</t>
  </si>
  <si>
    <t>2000-01-25</t>
  </si>
  <si>
    <t>2019-03-19</t>
  </si>
  <si>
    <t>2001-11-18</t>
  </si>
  <si>
    <t>2006-01-30</t>
  </si>
  <si>
    <t>2019-12-04</t>
  </si>
  <si>
    <t>2020-11-19</t>
  </si>
  <si>
    <t>2021-01-11</t>
  </si>
  <si>
    <t>2020-12-16</t>
  </si>
  <si>
    <t>[K_ADDRESS_TYPE]</t>
  </si>
  <si>
    <t>[D_CUSTOMER_ADDRESS_NAME]</t>
  </si>
  <si>
    <t>[D_CUSTOMER_ADDRESS_03]</t>
  </si>
  <si>
    <t>[D_CUSTOMER_ADDRESS_04]</t>
  </si>
  <si>
    <t>[L_CUSTOMER_ADDRESS_MAIN]</t>
  </si>
  <si>
    <t>[D_CUSTOMER_CONTACT_NAME]</t>
  </si>
  <si>
    <t>[CUSTOMER_CONTACT_PHONE_01]</t>
  </si>
  <si>
    <t>[CUSTOMER_CONTACT_PHONE_01_EXT]</t>
  </si>
  <si>
    <t>[CUSTOMER_CONTACT_EMAIL_01]</t>
  </si>
  <si>
    <t>[CUSTOMER_CONTACT_FAX_01]</t>
  </si>
  <si>
    <t>[C_CUSTOMER_CONTACT]</t>
  </si>
  <si>
    <t>00111528787830150</t>
  </si>
  <si>
    <t>5166274000</t>
  </si>
  <si>
    <t>5197333713</t>
  </si>
  <si>
    <t>6563827522</t>
  </si>
  <si>
    <t>2485857700</t>
  </si>
  <si>
    <t>9783565701</t>
  </si>
  <si>
    <t>4194245429</t>
  </si>
  <si>
    <t>9416766081</t>
  </si>
  <si>
    <t>522414184600</t>
  </si>
  <si>
    <t>12484514216</t>
  </si>
  <si>
    <t>2484514276</t>
  </si>
  <si>
    <t>5252847224</t>
  </si>
  <si>
    <t>015552847154</t>
  </si>
  <si>
    <t>5175457500</t>
  </si>
  <si>
    <t>9154994545</t>
  </si>
  <si>
    <t>13137554909</t>
  </si>
  <si>
    <t>8105780400</t>
  </si>
  <si>
    <t>3135939000</t>
  </si>
  <si>
    <t>0115286130319</t>
  </si>
  <si>
    <t>5172236734</t>
  </si>
  <si>
    <t>0755914911</t>
  </si>
  <si>
    <t>3139636114</t>
  </si>
  <si>
    <t>001113174845555</t>
  </si>
  <si>
    <t>5187624543</t>
  </si>
  <si>
    <t>2485057417</t>
  </si>
  <si>
    <t>2485869118</t>
  </si>
  <si>
    <t>6564011973</t>
  </si>
  <si>
    <t>5197335887</t>
  </si>
  <si>
    <t>MAURICIO ESPINOSA</t>
  </si>
  <si>
    <t>RUTH KAMALI</t>
  </si>
  <si>
    <t>ROGELIO CORRAL</t>
  </si>
  <si>
    <t>NIKKI OSTERLAND</t>
  </si>
  <si>
    <t>LUIS ENRIQUE HERNANDEZ</t>
  </si>
  <si>
    <t>ACCOUNTS PAYABLE</t>
  </si>
  <si>
    <t>WILLIS I SIMMONS</t>
  </si>
  <si>
    <t>ROSA BOURDEAU</t>
  </si>
  <si>
    <t>CLEMENCIA VIVEROS</t>
  </si>
  <si>
    <t>MARIA CLABORN</t>
  </si>
  <si>
    <t>LISA BETH RUMPL</t>
  </si>
  <si>
    <t>RICARDO PEREZ</t>
  </si>
  <si>
    <t>BETHANY SCOTT</t>
  </si>
  <si>
    <t>MIKE CHOPSON</t>
  </si>
  <si>
    <t>DAVE SCHUTTER</t>
  </si>
  <si>
    <t>STEVE KRAFT</t>
  </si>
  <si>
    <t>DAVID RAMOS</t>
  </si>
  <si>
    <t>CATHY SADLER</t>
  </si>
  <si>
    <t>Ms Daniela Olejnik</t>
  </si>
  <si>
    <t>LILA MACKEY</t>
  </si>
  <si>
    <t>DOUG DEATON</t>
  </si>
  <si>
    <t>MARILY BURKE</t>
  </si>
  <si>
    <t>LISA FIRTH</t>
  </si>
  <si>
    <t>VITO PALADINO</t>
  </si>
  <si>
    <t>MIHO NAKATANI</t>
  </si>
  <si>
    <t>PATTY O'DELL</t>
  </si>
  <si>
    <t>Mr. Kurt Greaser</t>
  </si>
  <si>
    <t>SELENA LAU</t>
  </si>
  <si>
    <t>JOHN RUGGIERO</t>
  </si>
  <si>
    <t>BILL REID</t>
  </si>
  <si>
    <t>CECILIA RODRIGUEZ</t>
  </si>
  <si>
    <t>NORMA GUTIERREZ</t>
  </si>
  <si>
    <t>MARY KEHOE</t>
  </si>
  <si>
    <t>RICARDO VALTIERRA</t>
  </si>
  <si>
    <t>BRIAN TANNER</t>
  </si>
  <si>
    <t>MR. ZHANG WENKANG</t>
  </si>
  <si>
    <t>YUENYONG NATTIDA</t>
  </si>
  <si>
    <t>18773348706</t>
  </si>
  <si>
    <t>12486153090</t>
  </si>
  <si>
    <t>5196763626</t>
  </si>
  <si>
    <t>8613061818985</t>
  </si>
  <si>
    <t>886211963</t>
  </si>
  <si>
    <t>bkamali@kamaligroup.com</t>
  </si>
  <si>
    <t>Office@daimayus.com</t>
  </si>
  <si>
    <t>jruggiero@pearlleather.com</t>
  </si>
  <si>
    <t>william.a.reid@att.net</t>
  </si>
  <si>
    <t>2485855800</t>
  </si>
  <si>
    <t>9783569832</t>
  </si>
  <si>
    <t>4194223164</t>
  </si>
  <si>
    <t>9416766463</t>
  </si>
  <si>
    <t>522414127291</t>
  </si>
  <si>
    <t>2484514230</t>
  </si>
  <si>
    <t>5252847231</t>
  </si>
  <si>
    <t>015552847210</t>
  </si>
  <si>
    <t>12486153098</t>
  </si>
  <si>
    <t>5175458199</t>
  </si>
  <si>
    <t>9158495610</t>
  </si>
  <si>
    <t>13137554898</t>
  </si>
  <si>
    <t>3132535041</t>
  </si>
  <si>
    <t>5172231331</t>
  </si>
  <si>
    <t>0755914983</t>
  </si>
  <si>
    <t>001513174845565</t>
  </si>
  <si>
    <t>2486425154</t>
  </si>
  <si>
    <t>3139829198</t>
  </si>
  <si>
    <t>Yanfeng Mexico</t>
  </si>
  <si>
    <t>PO BOX 7148</t>
  </si>
  <si>
    <t>48376 Novi MI</t>
  </si>
  <si>
    <t>UNITED STATES</t>
  </si>
  <si>
    <t>DAIMAY AUTOMOTIVE INTERIOR, S DE R.L. DE</t>
  </si>
  <si>
    <t>PARQUE INDUSTRIAL FINSA</t>
  </si>
  <si>
    <t>RAMOS ARZIPE COAH</t>
  </si>
  <si>
    <t>Panzacola, 90796</t>
  </si>
  <si>
    <t>MEXICO</t>
  </si>
  <si>
    <t>Irvin Automotive Products, LLC</t>
  </si>
  <si>
    <t>2A Fawcett Dr.</t>
  </si>
  <si>
    <t>Del Rio, TX 78840</t>
  </si>
  <si>
    <t>United States</t>
  </si>
  <si>
    <t>MAILING TO: P.O. BOX 420699</t>
  </si>
  <si>
    <t>DEL RIO TX 78840</t>
  </si>
  <si>
    <t>USA</t>
  </si>
  <si>
    <t>DEL RIO, TX 78840</t>
  </si>
  <si>
    <t>SALTILLO INTERIOR TRIM SA DE CV</t>
  </si>
  <si>
    <t>AUTOPISTA SALTILLO-MONTERREY KM 11.50</t>
  </si>
  <si>
    <t>COAHUILA, CP 25900</t>
  </si>
  <si>
    <t>845 PROGRESS CT. WILLIAMSTON, MI 48895</t>
  </si>
  <si>
    <t>WILLIAMSTON, MI</t>
  </si>
  <si>
    <r>
      <t>1 M00 7 Tambol</t>
    </r>
    <r>
      <rPr>
        <b/>
        <i/>
        <sz val="11"/>
        <color theme="1"/>
        <rFont val="Calibri"/>
        <family val="2"/>
        <scheme val="minor"/>
      </rPr>
      <t xml:space="preserve"> Khao Khan Song, </t>
    </r>
    <r>
      <rPr>
        <b/>
        <sz val="11"/>
        <color theme="1"/>
        <rFont val="Calibri"/>
        <family val="2"/>
        <scheme val="minor"/>
      </rPr>
      <t>Amphur Sriracha</t>
    </r>
  </si>
  <si>
    <t>CHONBURI, 700/20</t>
  </si>
  <si>
    <t>THAILAND TAX ID:0205562018045</t>
  </si>
  <si>
    <t>[SLSPSN_NO]</t>
  </si>
  <si>
    <t>[CUST_TYPE_CD]</t>
  </si>
  <si>
    <t>[COLLECTOR]</t>
  </si>
  <si>
    <t>[CURR_CD]</t>
  </si>
  <si>
    <t>[CMT_2]</t>
  </si>
  <si>
    <t>[CMT_1]</t>
  </si>
  <si>
    <t>[HOLD_FG]</t>
  </si>
  <si>
    <t>N/A</t>
  </si>
  <si>
    <t>FOB ACUNA</t>
  </si>
  <si>
    <t>NETT CIF</t>
  </si>
  <si>
    <t>FOB Juarez</t>
  </si>
  <si>
    <t>FOB SHIP POINT</t>
  </si>
  <si>
    <t>RICARDO.PEREZ@JCI.COM</t>
  </si>
  <si>
    <t>EXW</t>
  </si>
  <si>
    <t>L/C</t>
  </si>
  <si>
    <t>ABN</t>
  </si>
  <si>
    <t>Duty Paid</t>
  </si>
  <si>
    <t>[EMAIL]</t>
  </si>
  <si>
    <t>BKAMALI@KAMALIGROUP.COM</t>
  </si>
  <si>
    <t>OFFICE@DAIMAYUS.COM</t>
  </si>
  <si>
    <t>XXXX00</t>
  </si>
  <si>
    <t>[K_CONTINENTE]</t>
  </si>
  <si>
    <t>PG_CI_ARCUSFIL_SQL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</si>
</sst>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00"/>
    <numFmt numFmtId="167" formatCode="yyyy\-mm\-dd;@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7" fillId="0" borderId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1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166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Fill="1" applyAlignment="1">
      <alignment horizontal="left" vertical="center"/>
    </xf>
    <xf numFmtId="9" fontId="1" fillId="0" borderId="0" xfId="0" applyNumberFormat="1" applyFont="1" applyFill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3" fillId="0" borderId="0" xfId="0" quotePrefix="1" applyNumberFormat="1" applyFont="1" applyFill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5" fillId="0" borderId="0" xfId="0" applyFont="1"/>
    <xf numFmtId="0" fontId="14" fillId="0" borderId="0" xfId="8" quotePrefix="1" applyFill="1" applyAlignment="1">
      <alignment horizontal="center" vertical="center"/>
    </xf>
  </cellXfs>
  <cellStyles count="9">
    <cellStyle name="Comma 2" xfId="2" xr:uid="{00000000-0005-0000-0000-000000000000}"/>
    <cellStyle name="Hipervínculo" xfId="8" builtinId="8"/>
    <cellStyle name="Millares 2" xfId="3" xr:uid="{00000000-0005-0000-0000-000001000000}"/>
    <cellStyle name="Millares 3" xfId="4" xr:uid="{00000000-0005-0000-0000-000002000000}"/>
    <cellStyle name="Millares 4" xfId="5" xr:uid="{00000000-0005-0000-0000-000003000000}"/>
    <cellStyle name="Moneda 2" xfId="6" xr:uid="{00000000-0005-0000-0000-000004000000}"/>
    <cellStyle name="Normal" xfId="0" builtinId="0"/>
    <cellStyle name="Normal 2" xfId="7" xr:uid="{00000000-0005-0000-0000-000006000000}"/>
    <cellStyle name="Normal 3" xfId="1" xr:uid="{00000000-0005-0000-0000-000007000000}"/>
  </cellStyles>
  <dxfs count="188"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b/>
        <i/>
        <strike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OFFICE@DAIMAYUS.COM" TargetMode="External"/><Relationship Id="rId1" Type="http://schemas.openxmlformats.org/officeDocument/2006/relationships/hyperlink" Target="mailto:BKAMALI@KAMALIGROUP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26"/>
  <sheetViews>
    <sheetView workbookViewId="0"/>
  </sheetViews>
  <sheetFormatPr baseColWidth="10" defaultColWidth="11.42578125" defaultRowHeight="15" x14ac:dyDescent="0.25"/>
  <cols>
    <col min="1" max="1" width="20.85546875" style="3" customWidth="1"/>
    <col min="2" max="2" width="37.5703125" bestFit="1" customWidth="1"/>
    <col min="3" max="3" width="25.85546875" style="29" bestFit="1" customWidth="1"/>
  </cols>
  <sheetData>
    <row r="1" spans="1:4" x14ac:dyDescent="0.25">
      <c r="A1" s="16" t="str">
        <f>(CONCATENATE("PG_CI_",(MID(B4,4,LEN(B4)-4))))</f>
        <v>PG_CI_CUSTOMER</v>
      </c>
      <c r="B1" s="5"/>
      <c r="C1" s="28"/>
      <c r="D1" s="5"/>
    </row>
    <row r="3" spans="1:4" x14ac:dyDescent="0.25">
      <c r="A3" s="4" t="s">
        <v>5</v>
      </c>
      <c r="B3" t="s">
        <v>11</v>
      </c>
      <c r="C3" s="30" t="s">
        <v>4</v>
      </c>
    </row>
    <row r="4" spans="1:4" x14ac:dyDescent="0.25">
      <c r="A4" s="3" t="s">
        <v>3</v>
      </c>
      <c r="B4" t="s">
        <v>493</v>
      </c>
      <c r="C4" s="29" t="s">
        <v>10</v>
      </c>
    </row>
    <row r="5" spans="1:4" x14ac:dyDescent="0.25">
      <c r="B5" t="s">
        <v>494</v>
      </c>
      <c r="C5" s="29" t="s">
        <v>506</v>
      </c>
    </row>
    <row r="6" spans="1:4" x14ac:dyDescent="0.25">
      <c r="B6" t="s">
        <v>495</v>
      </c>
      <c r="C6" s="29" t="s">
        <v>506</v>
      </c>
    </row>
    <row r="7" spans="1:4" x14ac:dyDescent="0.25">
      <c r="B7" t="s">
        <v>496</v>
      </c>
      <c r="C7" s="29" t="s">
        <v>507</v>
      </c>
    </row>
    <row r="8" spans="1:4" x14ac:dyDescent="0.25">
      <c r="B8" t="s">
        <v>497</v>
      </c>
      <c r="C8" s="29" t="s">
        <v>10</v>
      </c>
    </row>
    <row r="9" spans="1:4" x14ac:dyDescent="0.25">
      <c r="B9" t="s">
        <v>498</v>
      </c>
      <c r="C9" s="29" t="s">
        <v>10</v>
      </c>
    </row>
    <row r="10" spans="1:4" x14ac:dyDescent="0.25">
      <c r="B10" t="s">
        <v>499</v>
      </c>
      <c r="C10" s="29" t="s">
        <v>508</v>
      </c>
    </row>
    <row r="11" spans="1:4" x14ac:dyDescent="0.25">
      <c r="B11" t="s">
        <v>500</v>
      </c>
      <c r="C11" s="29" t="s">
        <v>506</v>
      </c>
    </row>
    <row r="12" spans="1:4" x14ac:dyDescent="0.25">
      <c r="B12" t="s">
        <v>501</v>
      </c>
      <c r="C12" t="s">
        <v>506</v>
      </c>
    </row>
    <row r="13" spans="1:4" x14ac:dyDescent="0.25">
      <c r="B13" t="s">
        <v>502</v>
      </c>
      <c r="C13" s="29" t="s">
        <v>10</v>
      </c>
    </row>
    <row r="14" spans="1:4" x14ac:dyDescent="0.25">
      <c r="B14" t="s">
        <v>503</v>
      </c>
      <c r="C14" s="29" t="s">
        <v>509</v>
      </c>
    </row>
    <row r="15" spans="1:4" x14ac:dyDescent="0.25">
      <c r="B15" t="s">
        <v>504</v>
      </c>
      <c r="C15" s="29" t="s">
        <v>10</v>
      </c>
    </row>
    <row r="16" spans="1:4" x14ac:dyDescent="0.25">
      <c r="B16" t="s">
        <v>505</v>
      </c>
      <c r="C16" t="s">
        <v>10</v>
      </c>
    </row>
    <row r="20" spans="3:9" x14ac:dyDescent="0.25">
      <c r="C20"/>
      <c r="D20" s="29"/>
      <c r="E20" s="29"/>
      <c r="F20" s="29"/>
      <c r="G20" s="29"/>
      <c r="H20" s="29"/>
      <c r="I20" s="29"/>
    </row>
    <row r="21" spans="3:9" x14ac:dyDescent="0.25">
      <c r="C21"/>
    </row>
    <row r="24" spans="3:9" x14ac:dyDescent="0.25">
      <c r="C24" t="s">
        <v>999</v>
      </c>
      <c r="D24" t="s">
        <v>1000</v>
      </c>
      <c r="E24" t="s">
        <v>1001</v>
      </c>
      <c r="F24" t="s">
        <v>1002</v>
      </c>
      <c r="G24" t="s">
        <v>1003</v>
      </c>
      <c r="H24" t="s">
        <v>1004</v>
      </c>
      <c r="I24" t="s">
        <v>1005</v>
      </c>
    </row>
    <row r="25" spans="3:9" x14ac:dyDescent="0.25">
      <c r="C25"/>
    </row>
    <row r="26" spans="3:9" x14ac:dyDescent="0.25">
      <c r="C2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E250"/>
  <sheetViews>
    <sheetView tabSelected="1" topLeftCell="D7" zoomScaleNormal="100" workbookViewId="0">
      <selection activeCell="G47" sqref="G47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17.5703125" style="15" bestFit="1" customWidth="1"/>
    <col min="6" max="7" width="49" style="9" bestFit="1" customWidth="1"/>
    <col min="8" max="8" width="16.28515625" style="26" customWidth="1"/>
    <col min="9" max="11" width="24.42578125" style="31" customWidth="1"/>
    <col min="12" max="12" width="19.28515625" style="26" bestFit="1" customWidth="1"/>
    <col min="13" max="14" width="29.140625" style="26" bestFit="1" customWidth="1"/>
    <col min="15" max="15" width="29.140625" style="35" bestFit="1" customWidth="1"/>
    <col min="16" max="16" width="22.140625" style="31" customWidth="1"/>
    <col min="17" max="17" width="29.140625" style="35" bestFit="1" customWidth="1"/>
    <col min="18" max="18" width="29.140625" style="35" customWidth="1"/>
    <col min="19" max="19" width="29.140625" style="35" bestFit="1" customWidth="1"/>
    <col min="20" max="26" width="29.140625" style="35" customWidth="1"/>
    <col min="27" max="27" width="17.140625" customWidth="1"/>
    <col min="28" max="28" width="25.28515625" customWidth="1"/>
    <col min="29" max="29" width="17.42578125" style="12" customWidth="1"/>
  </cols>
  <sheetData>
    <row r="1" spans="1:31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493</v>
      </c>
      <c r="F1" t="s">
        <v>494</v>
      </c>
      <c r="G1" t="s">
        <v>495</v>
      </c>
      <c r="H1" t="s">
        <v>496</v>
      </c>
      <c r="I1" t="s">
        <v>1020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  <c r="O1" s="29" t="s">
        <v>502</v>
      </c>
      <c r="P1" t="s">
        <v>503</v>
      </c>
      <c r="Q1" s="29" t="s">
        <v>504</v>
      </c>
      <c r="R1" s="29" t="s">
        <v>505</v>
      </c>
      <c r="S1" s="29" t="s">
        <v>1016</v>
      </c>
      <c r="T1" s="29" t="s">
        <v>999</v>
      </c>
      <c r="U1" s="29" t="s">
        <v>1000</v>
      </c>
      <c r="V1" s="29" t="s">
        <v>1001</v>
      </c>
      <c r="W1" s="29" t="s">
        <v>1002</v>
      </c>
      <c r="X1" s="29" t="s">
        <v>1003</v>
      </c>
      <c r="Y1" s="29" t="s">
        <v>1004</v>
      </c>
      <c r="Z1" s="29" t="s">
        <v>1005</v>
      </c>
      <c r="AB1" s="18" t="s">
        <v>9</v>
      </c>
      <c r="AC1" s="18" t="s">
        <v>1021</v>
      </c>
      <c r="AD1" s="18" t="s">
        <v>6</v>
      </c>
      <c r="AE1" s="18" t="str">
        <f>CONCATENATE($AB$1,$AC$1,$AD$1,B3, ", ", C3, ", ", D3, ", ", )</f>
        <v xml:space="preserve">EXECUTE [dbo].[PG_CI_ARCUSFIL_SQL] 0, 0, 0, </v>
      </c>
    </row>
    <row r="2" spans="1:31" s="10" customFormat="1" x14ac:dyDescent="0.25">
      <c r="A2" s="19"/>
      <c r="B2" s="20">
        <v>0</v>
      </c>
      <c r="C2" s="20">
        <v>0</v>
      </c>
      <c r="D2" s="20">
        <v>0</v>
      </c>
      <c r="E2" s="27">
        <v>1</v>
      </c>
      <c r="F2" s="21" t="s">
        <v>517</v>
      </c>
      <c r="G2" s="21" t="s">
        <v>517</v>
      </c>
      <c r="H2" s="25" t="s">
        <v>593</v>
      </c>
      <c r="I2" s="31">
        <v>200</v>
      </c>
      <c r="J2" s="31">
        <v>221</v>
      </c>
      <c r="K2" s="31">
        <v>54</v>
      </c>
      <c r="L2" s="32" t="s">
        <v>651</v>
      </c>
      <c r="M2" s="32" t="s">
        <v>695</v>
      </c>
      <c r="N2" s="32"/>
      <c r="O2" s="25">
        <v>48083</v>
      </c>
      <c r="P2" s="37" t="s">
        <v>824</v>
      </c>
      <c r="Q2" s="36">
        <f>E2</f>
        <v>1</v>
      </c>
      <c r="R2" s="36">
        <v>1</v>
      </c>
      <c r="S2" s="25"/>
      <c r="T2" s="25">
        <v>2</v>
      </c>
      <c r="U2" s="25" t="s">
        <v>120</v>
      </c>
      <c r="V2" s="25"/>
      <c r="W2" s="25" t="s">
        <v>126</v>
      </c>
      <c r="X2" s="25" t="s">
        <v>1007</v>
      </c>
      <c r="Y2" s="25" t="s">
        <v>1006</v>
      </c>
      <c r="Z2" s="25" t="s">
        <v>124</v>
      </c>
      <c r="AB2" s="23" t="str">
        <f>CONCATENATE(CI_!$AE$1,E2,", '",F2,"', '",G2,"' , '",H2,"' , ",I2,",",J2," , ",K2,", '",L2,"', '",M2,"' ,'",N2,"' , '",O2,"' , '",P2,"' , '",Q2,"' , '",R2,"','",S2,"','",T2,"','",U2,"','",V2,"','",W2,"','",X2,"','",Y2,"','",Z2,"'")</f>
        <v>EXECUTE [dbo].[PG_CI_ARCUSFIL_SQL] 0, 0, 0, 1, 'CNI INC', 'CNI INC' , 'CNII01' , 200,221 , 54, 'TROY', '1148 ROCHESTER ROAD' ,'' , '48083' , '1998-05-22' , '1' , '1','','2','MCUEX','','USD','FOB ACUNA','N/A','N'</v>
      </c>
      <c r="AC2" s="11"/>
    </row>
    <row r="3" spans="1:31" s="10" customFormat="1" x14ac:dyDescent="0.25">
      <c r="A3" s="19"/>
      <c r="B3" s="20">
        <v>0</v>
      </c>
      <c r="C3" s="20">
        <v>0</v>
      </c>
      <c r="D3" s="20">
        <v>0</v>
      </c>
      <c r="E3" s="27">
        <v>2</v>
      </c>
      <c r="F3" s="21" t="s">
        <v>519</v>
      </c>
      <c r="G3" s="21" t="s">
        <v>519</v>
      </c>
      <c r="H3" s="25" t="s">
        <v>595</v>
      </c>
      <c r="I3" s="31">
        <v>200</v>
      </c>
      <c r="J3" s="31">
        <v>221</v>
      </c>
      <c r="K3" s="31">
        <v>53</v>
      </c>
      <c r="L3" s="32" t="s">
        <v>653</v>
      </c>
      <c r="M3" s="32" t="s">
        <v>697</v>
      </c>
      <c r="N3" s="32" t="s">
        <v>751</v>
      </c>
      <c r="O3" s="25">
        <v>1938</v>
      </c>
      <c r="P3" s="37" t="s">
        <v>826</v>
      </c>
      <c r="Q3" s="36">
        <f>E3</f>
        <v>2</v>
      </c>
      <c r="R3" s="36">
        <v>1</v>
      </c>
      <c r="S3" s="25"/>
      <c r="T3" s="25">
        <v>2</v>
      </c>
      <c r="U3" s="25" t="s">
        <v>187</v>
      </c>
      <c r="V3" s="25"/>
      <c r="W3" s="25" t="s">
        <v>126</v>
      </c>
      <c r="X3" s="25"/>
      <c r="Y3" s="25" t="s">
        <v>1006</v>
      </c>
      <c r="Z3" s="25" t="s">
        <v>124</v>
      </c>
      <c r="AB3" s="23" t="str">
        <f>CONCATENATE(CI_!$AE$1,E3,", '",F3,"', '",G3,"' , '",H3,"' , ",I3,",",J3," , ",K3,", '",L3,"', '",M3,"' ,'",N3,"' , '",O3,"' , '",P3,"' , '",Q3,"' , '",R3,"','",S3,"','",T3,"','",U3,"','",V3,"','",W3,"','",X3,"','",Y3,"','",Z3,"'")</f>
        <v>EXECUTE [dbo].[PG_CI_ARCUSFIL_SQL] 0, 0, 0, 2, 'EBINGER BROTHERS LEATHER COMPANY', 'EBINGER BROTHERS LEATHER COMPANY' , 'EBIN01' , 200,221 , 53, 'MASSACHUSETTS', '44 MITCHELL ROAD' ,'IPSWICH' , '1938' , '2001-02-12' , '2' , '1','','2','MSUEX','','USD','','N/A','N'</v>
      </c>
      <c r="AC3" s="11"/>
    </row>
    <row r="4" spans="1:31" s="10" customFormat="1" x14ac:dyDescent="0.25">
      <c r="A4" s="19"/>
      <c r="B4" s="20">
        <v>0</v>
      </c>
      <c r="C4" s="20">
        <v>0</v>
      </c>
      <c r="D4" s="20">
        <v>0</v>
      </c>
      <c r="E4" s="27">
        <v>3</v>
      </c>
      <c r="F4" s="21" t="s">
        <v>521</v>
      </c>
      <c r="G4" s="21" t="s">
        <v>521</v>
      </c>
      <c r="H4" s="25" t="s">
        <v>597</v>
      </c>
      <c r="I4" s="31">
        <v>200</v>
      </c>
      <c r="J4" s="31">
        <v>260</v>
      </c>
      <c r="K4" s="31">
        <v>8</v>
      </c>
      <c r="L4" s="32" t="s">
        <v>655</v>
      </c>
      <c r="M4" s="32" t="s">
        <v>699</v>
      </c>
      <c r="N4" s="32"/>
      <c r="O4" s="25">
        <v>32650</v>
      </c>
      <c r="P4" s="37" t="s">
        <v>828</v>
      </c>
      <c r="Q4" s="36">
        <f>E4</f>
        <v>3</v>
      </c>
      <c r="R4" s="36">
        <v>1</v>
      </c>
      <c r="S4" s="25"/>
      <c r="T4" s="25">
        <v>2</v>
      </c>
      <c r="U4" s="25" t="s">
        <v>143</v>
      </c>
      <c r="V4" s="25"/>
      <c r="W4" s="25" t="s">
        <v>126</v>
      </c>
      <c r="X4" s="25"/>
      <c r="Y4" s="25" t="s">
        <v>1006</v>
      </c>
      <c r="Z4" s="25" t="s">
        <v>124</v>
      </c>
      <c r="AB4" s="23" t="str">
        <f>CONCATENATE(CI_!$AE$1,E4,", '",F4,"', '",G4,"' , '",H4,"' , ",I4,",",J4," , ",K4,", '",L4,"', '",M4,"' ,'",N4,"' , '",O4,"' , '",P4,"' , '",Q4,"' , '",R4,"','",S4,"','",T4,"','",U4,"','",V4,"','",W4,"','",X4,"','",Y4,"','",Z4,"'")</f>
        <v>EXECUTE [dbo].[PG_CI_ARCUSFIL_SQL] 0, 0, 0, 3, 'ENSAMBLE DE INTERIORES AUTOMOTRICES', 'ENSAMBLE DE INTERIORES AUTOMOTRICES' , 'ENSA01' , 200,260 , 8, 'CD JUAREZ, CHIH.', 'BLVD. OSCAR FLORES 4250' ,'' , '32650' , '2001-06-07' , '3' , '1','','2','MISC ','','USD','','N/A','N'</v>
      </c>
      <c r="AC4" s="11"/>
    </row>
    <row r="5" spans="1:31" s="10" customFormat="1" x14ac:dyDescent="0.25">
      <c r="A5" s="19"/>
      <c r="B5" s="20">
        <v>0</v>
      </c>
      <c r="C5" s="20">
        <v>0</v>
      </c>
      <c r="D5" s="20">
        <v>0</v>
      </c>
      <c r="E5" s="27">
        <v>4</v>
      </c>
      <c r="F5" s="21" t="s">
        <v>523</v>
      </c>
      <c r="G5" s="21" t="s">
        <v>573</v>
      </c>
      <c r="H5" s="25" t="s">
        <v>599</v>
      </c>
      <c r="I5" s="31">
        <v>200</v>
      </c>
      <c r="J5" s="31">
        <v>221</v>
      </c>
      <c r="K5" s="31">
        <v>67</v>
      </c>
      <c r="L5" s="32" t="s">
        <v>657</v>
      </c>
      <c r="M5" s="32" t="s">
        <v>701</v>
      </c>
      <c r="N5" s="32" t="s">
        <v>753</v>
      </c>
      <c r="O5" s="25">
        <v>45840</v>
      </c>
      <c r="P5" s="37" t="s">
        <v>824</v>
      </c>
      <c r="Q5" s="36">
        <f>E5</f>
        <v>4</v>
      </c>
      <c r="R5" s="36">
        <v>1</v>
      </c>
      <c r="S5" s="25"/>
      <c r="T5" s="25">
        <v>2</v>
      </c>
      <c r="U5" s="25" t="s">
        <v>120</v>
      </c>
      <c r="V5" s="25"/>
      <c r="W5" s="25" t="s">
        <v>126</v>
      </c>
      <c r="X5" s="25" t="s">
        <v>1008</v>
      </c>
      <c r="Y5" s="25" t="s">
        <v>1006</v>
      </c>
      <c r="Z5" s="25" t="s">
        <v>124</v>
      </c>
      <c r="AB5" s="23" t="str">
        <f>CONCATENATE(CI_!$AE$1,E5,", '",F5,"', '",G5,"' , '",H5,"' , ",I5,",",J5," , ",K5,", '",L5,"', '",M5,"' ,'",N5,"' , '",O5,"' , '",P5,"' , '",Q5,"' , '",R5,"','",S5,"','",T5,"','",U5,"','",V5,"','",W5,"','",X5,"','",Y5,"','",Z5,"'")</f>
        <v>EXECUTE [dbo].[PG_CI_ARCUSFIL_SQL] 0, 0, 0, 4, 'FINDLAY INDUSTRIES*********', 'FINDLAY INDUSTRIES*************' , 'FIND01' , 200,221 , 67, 'OHIO', '4000 FOSTORIA ROAD' ,'FINDLAY 0410 45840' , '45840' , '1998-05-22' , '4' , '1','','2','MCUEX','','USD','NETT CIF','N/A','N'</v>
      </c>
      <c r="AC5" s="11"/>
    </row>
    <row r="6" spans="1:31" s="10" customFormat="1" x14ac:dyDescent="0.25">
      <c r="A6" s="19"/>
      <c r="B6" s="20">
        <v>0</v>
      </c>
      <c r="C6" s="20">
        <v>0</v>
      </c>
      <c r="D6" s="20">
        <v>0</v>
      </c>
      <c r="E6" s="27">
        <v>5</v>
      </c>
      <c r="F6" s="21" t="s">
        <v>524</v>
      </c>
      <c r="G6" s="21" t="s">
        <v>574</v>
      </c>
      <c r="H6" s="25" t="s">
        <v>600</v>
      </c>
      <c r="I6" s="31">
        <v>200</v>
      </c>
      <c r="J6" s="31">
        <v>221</v>
      </c>
      <c r="K6" s="31">
        <v>41</v>
      </c>
      <c r="L6" s="32" t="s">
        <v>658</v>
      </c>
      <c r="M6" s="32" t="s">
        <v>702</v>
      </c>
      <c r="N6" s="32" t="s">
        <v>754</v>
      </c>
      <c r="O6" s="25">
        <v>33853</v>
      </c>
      <c r="P6" s="37" t="s">
        <v>830</v>
      </c>
      <c r="Q6" s="36">
        <f>E6</f>
        <v>5</v>
      </c>
      <c r="R6" s="36">
        <v>1</v>
      </c>
      <c r="S6" s="25"/>
      <c r="T6" s="25">
        <v>2</v>
      </c>
      <c r="U6" s="25" t="s">
        <v>120</v>
      </c>
      <c r="V6" s="25"/>
      <c r="W6" s="25" t="s">
        <v>126</v>
      </c>
      <c r="X6" s="25" t="s">
        <v>1008</v>
      </c>
      <c r="Y6" s="25" t="s">
        <v>1006</v>
      </c>
      <c r="Z6" s="25" t="s">
        <v>124</v>
      </c>
      <c r="AB6" s="23" t="str">
        <f>CONCATENATE(CI_!$AE$1,E6,", '",F6,"', '",G6,"' , '",H6,"' , ",I6,",",J6," , ",K6,", '",L6,"', '",M6,"' ,'",N6,"' , '",O6,"' , '",P6,"' , '",Q6,"' , '",R6,"','",S6,"','",T6,"','",U6,"','",V6,"','",W6,"','",X6,"','",Y6,"','",Z6,"'")</f>
        <v>EXECUTE [dbo].[PG_CI_ARCUSFIL_SQL] 0, 0, 0, 5, 'FINDLAY INDUSTRIES (FLORIDA)***********', 'FINDLAY INDUSTRIES (FLORIDA)************' , 'FIND02' , 200,221 , 41, 'FLORIDA', 'PO BOX 1350' ,'LAKE WALES' , '33853' , '1999-09-02' , '5' , '1','','2','MCUEX','','USD','NETT CIF','N/A','N'</v>
      </c>
      <c r="AC6" s="11"/>
    </row>
    <row r="7" spans="1:31" s="10" customFormat="1" x14ac:dyDescent="0.25">
      <c r="A7" s="19"/>
      <c r="B7" s="20">
        <v>0</v>
      </c>
      <c r="C7" s="20">
        <v>0</v>
      </c>
      <c r="D7" s="20">
        <v>0</v>
      </c>
      <c r="E7" s="27">
        <v>6</v>
      </c>
      <c r="F7" s="21" t="s">
        <v>525</v>
      </c>
      <c r="G7" s="21" t="s">
        <v>525</v>
      </c>
      <c r="H7" s="25" t="s">
        <v>601</v>
      </c>
      <c r="I7" s="31">
        <v>200</v>
      </c>
      <c r="J7" s="31">
        <v>213</v>
      </c>
      <c r="K7" s="31">
        <v>0</v>
      </c>
      <c r="L7" s="32"/>
      <c r="M7" s="32" t="s">
        <v>703</v>
      </c>
      <c r="N7" s="32" t="s">
        <v>755</v>
      </c>
      <c r="O7" s="25" t="s">
        <v>789</v>
      </c>
      <c r="P7" s="37" t="s">
        <v>831</v>
      </c>
      <c r="Q7" s="36">
        <f>E7</f>
        <v>6</v>
      </c>
      <c r="R7" s="36">
        <v>1</v>
      </c>
      <c r="S7" s="25"/>
      <c r="T7" s="25">
        <v>2</v>
      </c>
      <c r="U7" s="25" t="s">
        <v>120</v>
      </c>
      <c r="V7" s="25"/>
      <c r="W7" s="25" t="s">
        <v>126</v>
      </c>
      <c r="X7" s="25"/>
      <c r="Y7" s="25" t="s">
        <v>1006</v>
      </c>
      <c r="Z7" s="25" t="s">
        <v>124</v>
      </c>
      <c r="AB7" s="23" t="str">
        <f>CONCATENATE(CI_!$AE$1,E7,", '",F7,"', '",G7,"' , '",H7,"' , ",I7,",",J7," , ",K7,", '",L7,"', '",M7,"' ,'",N7,"' , '",O7,"' , '",P7,"' , '",Q7,"' , '",R7,"','",S7,"','",T7,"','",U7,"','",V7,"','",W7,"','",X7,"','",Y7,"','",Z7,"'")</f>
        <v>EXECUTE [dbo].[PG_CI_ARCUSFIL_SQL] 0, 0, 0, 6, 'GLOBALTEX 2000 LTD', 'GLOBALTEX 2000 LTD' , 'GLOB01' , 200,213 , 0, '', 'UNIT C/735 PRINCE ROAD' ,'WINDSOR' , 'N9C2Z2' , '2000-03-23' , '6' , '1','','2','MCUEX','','USD','','N/A','N'</v>
      </c>
      <c r="AC7" s="11"/>
    </row>
    <row r="8" spans="1:31" s="10" customFormat="1" x14ac:dyDescent="0.25">
      <c r="A8" s="19"/>
      <c r="B8" s="20">
        <v>0</v>
      </c>
      <c r="C8" s="20">
        <v>0</v>
      </c>
      <c r="D8" s="20">
        <v>0</v>
      </c>
      <c r="E8" s="27">
        <v>7</v>
      </c>
      <c r="F8" s="21" t="s">
        <v>528</v>
      </c>
      <c r="G8" s="21" t="s">
        <v>529</v>
      </c>
      <c r="H8" s="25" t="s">
        <v>604</v>
      </c>
      <c r="I8" s="31">
        <v>200</v>
      </c>
      <c r="J8" s="31">
        <v>221</v>
      </c>
      <c r="K8" s="31">
        <v>54</v>
      </c>
      <c r="L8" s="32" t="s">
        <v>660</v>
      </c>
      <c r="M8" s="32" t="s">
        <v>706</v>
      </c>
      <c r="N8" s="32"/>
      <c r="O8" s="25" t="s">
        <v>791</v>
      </c>
      <c r="P8" s="37" t="s">
        <v>834</v>
      </c>
      <c r="Q8" s="36">
        <f>E8</f>
        <v>7</v>
      </c>
      <c r="R8" s="36">
        <v>1</v>
      </c>
      <c r="S8" s="25"/>
      <c r="T8" s="25">
        <v>2</v>
      </c>
      <c r="U8" s="25" t="s">
        <v>250</v>
      </c>
      <c r="V8" s="25"/>
      <c r="W8" s="25" t="s">
        <v>126</v>
      </c>
      <c r="X8" s="25"/>
      <c r="Y8" s="25" t="s">
        <v>1006</v>
      </c>
      <c r="Z8" s="25" t="s">
        <v>124</v>
      </c>
      <c r="AB8" s="23" t="str">
        <f>CONCATENATE(CI_!$AE$1,E8,", '",F8,"', '",G8,"' , '",H8,"' , ",I8,",",J8," , ",K8,", '",L8,"', '",M8,"' ,'",N8,"' , '",O8,"' , '",P8,"' , '",Q8,"' , '",R8,"','",S8,"','",T8,"','",U8,"','",V8,"','",W8,"','",X8,"','",Y8,"','",Z8,"'")</f>
        <v>EXECUTE [dbo].[PG_CI_ARCUSFIL_SQL] 0, 0, 0, 7, 'IRVIN AUTOMOTIVE PRODUCTS -PONTIAC', 'IRVIN AUTOMOTIVE' , 'IRVI02' , 200,221 , 54, 'PONTIAC', '2600 CENTER POINT PARKWAY' ,'' , '48341' , '2001-07-25' , '7' , '1','','2','MFUEX','','USD','','N/A','N'</v>
      </c>
      <c r="AC8" s="11"/>
    </row>
    <row r="9" spans="1:31" s="10" customFormat="1" x14ac:dyDescent="0.25">
      <c r="A9" s="19"/>
      <c r="B9" s="20">
        <v>0</v>
      </c>
      <c r="C9" s="20">
        <v>0</v>
      </c>
      <c r="D9" s="20">
        <v>0</v>
      </c>
      <c r="E9" s="27">
        <v>8</v>
      </c>
      <c r="F9" s="21" t="s">
        <v>530</v>
      </c>
      <c r="G9" s="21" t="s">
        <v>530</v>
      </c>
      <c r="H9" s="25" t="s">
        <v>606</v>
      </c>
      <c r="I9" s="31">
        <v>200</v>
      </c>
      <c r="J9" s="31">
        <v>260</v>
      </c>
      <c r="K9" s="31">
        <v>15</v>
      </c>
      <c r="L9" s="32" t="s">
        <v>662</v>
      </c>
      <c r="M9" s="32" t="s">
        <v>708</v>
      </c>
      <c r="N9" s="32" t="s">
        <v>757</v>
      </c>
      <c r="O9" s="25" t="s">
        <v>793</v>
      </c>
      <c r="P9" s="37" t="s">
        <v>836</v>
      </c>
      <c r="Q9" s="36">
        <f>E9</f>
        <v>8</v>
      </c>
      <c r="R9" s="36">
        <v>1</v>
      </c>
      <c r="S9" s="25"/>
      <c r="T9" s="25">
        <v>2</v>
      </c>
      <c r="U9" s="25" t="s">
        <v>120</v>
      </c>
      <c r="V9" s="25"/>
      <c r="W9" s="25" t="s">
        <v>126</v>
      </c>
      <c r="X9" s="25"/>
      <c r="Y9" s="25" t="s">
        <v>1006</v>
      </c>
      <c r="Z9" s="25" t="s">
        <v>124</v>
      </c>
      <c r="AB9" s="23" t="str">
        <f>CONCATENATE(CI_!$AE$1,E9,", '",F9,"', '",G9,"' , '",H9,"' , ",I9,",",J9," , ",K9,", '",L9,"', '",M9,"' ,'",N9,"' , '",O9,"' , '",P9,"' , '",Q9,"' , '",R9,"','",S9,"','",T9,"','",U9,"','",V9,"','",W9,"','",X9,"','",Y9,"','",Z9,"'")</f>
        <v>EXECUTE [dbo].[PG_CI_ARCUSFIL_SQL] 0, 0, 0, 8, 'AUTOSEAT S.A. DE C.V.', 'AUTOSEAT S.A. DE C.V.' , 'JITC01' , 200,260 , 15, 'NAUCALPA', 'PLANT#18232' ,'CALLE NEGRA MODELO #6A FRACC ALCE BLANCO' , '53370' , '1999-11-11' , '8' , '1','','2','MCUEX','','USD','','N/A','N'</v>
      </c>
      <c r="AC9" s="11"/>
    </row>
    <row r="10" spans="1:31" s="10" customFormat="1" x14ac:dyDescent="0.25">
      <c r="A10" s="19"/>
      <c r="B10" s="20">
        <v>0</v>
      </c>
      <c r="C10" s="20">
        <v>0</v>
      </c>
      <c r="D10" s="20">
        <v>0</v>
      </c>
      <c r="E10" s="27">
        <v>9</v>
      </c>
      <c r="F10" s="21" t="s">
        <v>532</v>
      </c>
      <c r="G10" s="21" t="s">
        <v>577</v>
      </c>
      <c r="H10" s="25" t="s">
        <v>608</v>
      </c>
      <c r="I10" s="31">
        <v>200</v>
      </c>
      <c r="J10" s="31">
        <v>221</v>
      </c>
      <c r="K10" s="31">
        <v>75</v>
      </c>
      <c r="L10" s="32" t="s">
        <v>663</v>
      </c>
      <c r="M10" s="32" t="s">
        <v>710</v>
      </c>
      <c r="N10" s="32"/>
      <c r="O10" s="25" t="s">
        <v>795</v>
      </c>
      <c r="P10" s="37" t="s">
        <v>838</v>
      </c>
      <c r="Q10" s="36">
        <f>E10</f>
        <v>9</v>
      </c>
      <c r="R10" s="36">
        <v>1</v>
      </c>
      <c r="S10" s="25"/>
      <c r="T10" s="25">
        <v>2</v>
      </c>
      <c r="U10" s="25" t="s">
        <v>120</v>
      </c>
      <c r="V10" s="25"/>
      <c r="W10" s="25" t="s">
        <v>126</v>
      </c>
      <c r="X10" s="25"/>
      <c r="Y10" s="25" t="s">
        <v>1006</v>
      </c>
      <c r="Z10" s="25" t="s">
        <v>124</v>
      </c>
      <c r="AB10" s="23" t="str">
        <f>CONCATENATE(CI_!$AE$1,E10,", '",F10,"', '",G10,"' , '",H10,"' , ",I10,",",J10," , ",K10,", '",L10,"', '",M10,"' ,'",N10,"' , '",O10,"' , '",P10,"' , '",Q10,"' , '",R10,"','",S10,"','",T10,"','",U10,"','",V10,"','",W10,"','",X10,"','",Y10,"','",Z10,"'")</f>
        <v>EXECUTE [dbo].[PG_CI_ARCUSFIL_SQL] 0, 0, 0, 9, 'Johnson Control Interiors LLC', 'JOHNSON CONTROL INTERIORS LLC' , 'JOHN02' , 200,221 , 75, 'El Paso', '1320 Goodyear Dr' ,'' , '79936' , '2001-03-04' , '9' , '1','','2','MCUEX','','USD','','N/A','N'</v>
      </c>
      <c r="AC10" s="11"/>
    </row>
    <row r="11" spans="1:31" s="10" customFormat="1" x14ac:dyDescent="0.25">
      <c r="A11" s="19"/>
      <c r="B11" s="20">
        <v>0</v>
      </c>
      <c r="C11" s="20">
        <v>0</v>
      </c>
      <c r="D11" s="20">
        <v>0</v>
      </c>
      <c r="E11" s="27">
        <v>10</v>
      </c>
      <c r="F11" s="21" t="s">
        <v>537</v>
      </c>
      <c r="G11" s="21" t="s">
        <v>537</v>
      </c>
      <c r="H11" s="25" t="s">
        <v>613</v>
      </c>
      <c r="I11" s="31">
        <v>200</v>
      </c>
      <c r="J11" s="31">
        <v>221</v>
      </c>
      <c r="K11" s="31">
        <v>54</v>
      </c>
      <c r="L11" s="32" t="s">
        <v>666</v>
      </c>
      <c r="M11" s="32" t="s">
        <v>715</v>
      </c>
      <c r="N11" s="32"/>
      <c r="O11" s="25" t="s">
        <v>799</v>
      </c>
      <c r="P11" s="37" t="s">
        <v>843</v>
      </c>
      <c r="Q11" s="36">
        <f>E11</f>
        <v>10</v>
      </c>
      <c r="R11" s="36">
        <v>1</v>
      </c>
      <c r="S11" s="25"/>
      <c r="T11" s="25">
        <v>8</v>
      </c>
      <c r="U11" s="25" t="s">
        <v>250</v>
      </c>
      <c r="V11" s="25"/>
      <c r="W11" s="25" t="s">
        <v>126</v>
      </c>
      <c r="X11" s="25"/>
      <c r="Y11" s="25" t="s">
        <v>1006</v>
      </c>
      <c r="Z11" s="25" t="s">
        <v>124</v>
      </c>
      <c r="AB11" s="23" t="str">
        <f>CONCATENATE(CI_!$AE$1,E11,", '",F11,"', '",G11,"' , '",H11,"' , ",I11,",",J11," , ",K11,", '",L11,"', '",M11,"' ,'",N11,"' , '",O11,"' , '",P11,"' , '",Q11,"' , '",R11,"','",S11,"','",T11,"','",U11,"','",V11,"','",W11,"','",X11,"','",Y11,"','",Z11,"'")</f>
        <v>EXECUTE [dbo].[PG_CI_ARCUSFIL_SQL] 0, 0, 0, 10, 'KRAFT AUTOMOTIVE GROUP, INC', 'KRAFT AUTOMOTIVE GROUP, INC' , 'KRAF01' , 200,221 , 54, 'HOWELL', '955 GRAND OAKS DRIVE' ,'' , '48843' , '2001-04-26' , '10' , '1','','8','MFUEX','','USD','','N/A','N'</v>
      </c>
      <c r="AC11" s="11"/>
    </row>
    <row r="12" spans="1:31" s="10" customFormat="1" x14ac:dyDescent="0.25">
      <c r="A12" s="19"/>
      <c r="B12" s="20">
        <v>0</v>
      </c>
      <c r="C12" s="20">
        <v>0</v>
      </c>
      <c r="D12" s="20">
        <v>0</v>
      </c>
      <c r="E12" s="27">
        <v>11</v>
      </c>
      <c r="F12" s="21" t="s">
        <v>538</v>
      </c>
      <c r="G12" s="21" t="s">
        <v>538</v>
      </c>
      <c r="H12" s="25" t="s">
        <v>614</v>
      </c>
      <c r="I12" s="31">
        <v>200</v>
      </c>
      <c r="J12" s="31">
        <v>221</v>
      </c>
      <c r="K12" s="31">
        <v>75</v>
      </c>
      <c r="L12" s="32" t="s">
        <v>664</v>
      </c>
      <c r="M12" s="32" t="s">
        <v>716</v>
      </c>
      <c r="N12" s="32"/>
      <c r="O12" s="25" t="s">
        <v>795</v>
      </c>
      <c r="P12" s="37" t="s">
        <v>844</v>
      </c>
      <c r="Q12" s="36">
        <f>E12</f>
        <v>11</v>
      </c>
      <c r="R12" s="36">
        <v>1</v>
      </c>
      <c r="S12" s="25"/>
      <c r="T12" s="25">
        <v>2</v>
      </c>
      <c r="U12" s="25" t="s">
        <v>120</v>
      </c>
      <c r="V12" s="25"/>
      <c r="W12" s="25" t="s">
        <v>126</v>
      </c>
      <c r="X12" s="25"/>
      <c r="Y12" s="25" t="s">
        <v>1006</v>
      </c>
      <c r="Z12" s="25" t="s">
        <v>124</v>
      </c>
      <c r="AB12" s="23" t="str">
        <f>CONCATENATE(CI_!$AE$1,E12,", '",F12,"', '",G12,"' , '",H12,"' , ",I12,",",J12," , ",K12,", '",L12,"', '",M12,"' ,'",N12,"' , '",O12,"' , '",P12,"' , '",Q12,"' , '",R12,"','",S12,"','",T12,"','",U12,"','",V12,"','",W12,"','",X12,"','",Y12,"','",Z12,"'")</f>
        <v>EXECUTE [dbo].[PG_CI_ARCUSFIL_SQL] 0, 0, 0, 11, 'LEAR NAB CORPORATION (FAVESA)', 'LEAR NAB CORPORATION (FAVESA)' , 'LEAR05' , 200,221 , 75, 'EL PASO', '1440 DON HASKINS' ,'' , '79936' , '1998-05-25' , '11' , '1','','2','MCUEX','','USD','','N/A','N'</v>
      </c>
      <c r="AC12" s="11"/>
    </row>
    <row r="13" spans="1:31" s="10" customFormat="1" x14ac:dyDescent="0.25">
      <c r="A13" s="19"/>
      <c r="B13" s="20">
        <v>0</v>
      </c>
      <c r="C13" s="20">
        <v>0</v>
      </c>
      <c r="D13" s="20">
        <v>0</v>
      </c>
      <c r="E13" s="27">
        <v>12</v>
      </c>
      <c r="F13" s="21" t="s">
        <v>540</v>
      </c>
      <c r="G13" s="21" t="s">
        <v>540</v>
      </c>
      <c r="H13" s="25" t="s">
        <v>616</v>
      </c>
      <c r="I13" s="31">
        <v>200</v>
      </c>
      <c r="J13" s="31">
        <v>221</v>
      </c>
      <c r="K13" s="31">
        <v>79</v>
      </c>
      <c r="L13" s="32"/>
      <c r="M13" s="32" t="s">
        <v>718</v>
      </c>
      <c r="N13" s="32" t="s">
        <v>763</v>
      </c>
      <c r="O13" s="25" t="s">
        <v>324</v>
      </c>
      <c r="P13" s="37" t="s">
        <v>846</v>
      </c>
      <c r="Q13" s="36">
        <f>E13</f>
        <v>12</v>
      </c>
      <c r="R13" s="36">
        <v>1</v>
      </c>
      <c r="S13" s="25"/>
      <c r="T13" s="25">
        <v>2</v>
      </c>
      <c r="U13" s="25" t="s">
        <v>250</v>
      </c>
      <c r="V13" s="25"/>
      <c r="W13" s="25" t="s">
        <v>126</v>
      </c>
      <c r="X13" s="25"/>
      <c r="Y13" s="25" t="s">
        <v>1006</v>
      </c>
      <c r="Z13" s="25" t="s">
        <v>124</v>
      </c>
      <c r="AB13" s="23" t="str">
        <f>CONCATENATE(CI_!$AE$1,E13,", '",F13,"', '",G13,"' , '",H13,"' , ",I13,",",J13," , ",K13,", '",L13,"', '",M13,"' ,'",N13,"' , '",O13,"' , '",P13,"' , '",Q13,"' , '",R13,"','",S13,"','",T13,"','",U13,"','",V13,"','",W13,"','",X13,"','",Y13,"','",Z13,"'")</f>
        <v>EXECUTE [dbo].[PG_CI_ARCUSFIL_SQL] 0, 0, 0, 12, 'LEAR TECHNOLOGIES, LLC', 'LEAR TECHNOLOGIES, LLC' , 'LEAT01' , 200,221 , 79, '', 'PO BOX 4178' ,'SOUTHFIELD' , '48086-4178' , '2000-03-09' , '12' , '1','','2','MFUEX','','USD','','N/A','N'</v>
      </c>
      <c r="AC13" s="11"/>
    </row>
    <row r="14" spans="1:31" s="10" customFormat="1" x14ac:dyDescent="0.25">
      <c r="A14" s="19"/>
      <c r="B14" s="20">
        <v>0</v>
      </c>
      <c r="C14" s="20">
        <v>0</v>
      </c>
      <c r="D14" s="20">
        <v>0</v>
      </c>
      <c r="E14" s="27">
        <v>13</v>
      </c>
      <c r="F14" s="21" t="s">
        <v>541</v>
      </c>
      <c r="G14" s="21" t="s">
        <v>578</v>
      </c>
      <c r="H14" s="25" t="s">
        <v>617</v>
      </c>
      <c r="I14" s="31">
        <v>200</v>
      </c>
      <c r="J14" s="31">
        <v>221</v>
      </c>
      <c r="K14" s="31">
        <v>75</v>
      </c>
      <c r="L14" s="32" t="s">
        <v>664</v>
      </c>
      <c r="M14" s="32" t="s">
        <v>719</v>
      </c>
      <c r="N14" s="32" t="s">
        <v>764</v>
      </c>
      <c r="O14" s="25" t="s">
        <v>329</v>
      </c>
      <c r="P14" s="37" t="s">
        <v>847</v>
      </c>
      <c r="Q14" s="36">
        <f>E14</f>
        <v>13</v>
      </c>
      <c r="R14" s="36">
        <v>1</v>
      </c>
      <c r="S14" s="25"/>
      <c r="T14" s="25">
        <v>2</v>
      </c>
      <c r="U14" s="25" t="s">
        <v>250</v>
      </c>
      <c r="V14" s="25"/>
      <c r="W14" s="25" t="s">
        <v>126</v>
      </c>
      <c r="X14" s="25"/>
      <c r="Y14" s="25" t="s">
        <v>1006</v>
      </c>
      <c r="Z14" s="25" t="s">
        <v>124</v>
      </c>
      <c r="AB14" s="23" t="str">
        <f>CONCATENATE(CI_!$AE$1,E14,", '",F14,"', '",G14,"' , '",H14,"' , ",I14,",",J14," , ",K14,", '",L14,"', '",M14,"' ,'",N14,"' , '",O14,"' , '",P14,"' , '",Q14,"' , '",R14,"','",S14,"','",T14,"','",U14,"','",V14,"','",W14,"','",X14,"','",Y14,"','",Z14,"'")</f>
        <v>EXECUTE [dbo].[PG_CI_ARCUSFIL_SQL] 0, 0, 0, 13, 'LEAR MEXICAN SEATING CORP', 'LEAR RIO BRAVO' , 'LEAV01' , 200,221 , 75, 'EL PASO', '9500 PLAZA CIRCLE' ,'P.O. BOX 17709' , '79917-7709' , '1999-02-25' , '13' , '1','','2','MFUEX','','USD','','N/A','N'</v>
      </c>
      <c r="AC14" s="11"/>
    </row>
    <row r="15" spans="1:31" s="10" customFormat="1" x14ac:dyDescent="0.25">
      <c r="A15" s="19"/>
      <c r="B15" s="20">
        <v>0</v>
      </c>
      <c r="C15" s="20">
        <v>0</v>
      </c>
      <c r="D15" s="20">
        <v>0</v>
      </c>
      <c r="E15" s="27">
        <v>14</v>
      </c>
      <c r="F15" s="21" t="s">
        <v>542</v>
      </c>
      <c r="G15" s="21" t="s">
        <v>579</v>
      </c>
      <c r="H15" s="25" t="s">
        <v>618</v>
      </c>
      <c r="I15" s="31">
        <v>200</v>
      </c>
      <c r="J15" s="31">
        <v>221</v>
      </c>
      <c r="K15" s="31">
        <v>54</v>
      </c>
      <c r="L15" s="32" t="s">
        <v>746</v>
      </c>
      <c r="M15" s="32" t="s">
        <v>720</v>
      </c>
      <c r="N15" s="32" t="s">
        <v>765</v>
      </c>
      <c r="O15" s="25" t="s">
        <v>801</v>
      </c>
      <c r="P15" s="37" t="s">
        <v>848</v>
      </c>
      <c r="Q15" s="36">
        <f>E15</f>
        <v>14</v>
      </c>
      <c r="R15" s="36">
        <v>1</v>
      </c>
      <c r="S15" s="25"/>
      <c r="T15" s="25">
        <v>2</v>
      </c>
      <c r="U15" s="25" t="s">
        <v>250</v>
      </c>
      <c r="V15" s="25"/>
      <c r="W15" s="25" t="s">
        <v>126</v>
      </c>
      <c r="X15" s="25"/>
      <c r="Y15" s="25" t="s">
        <v>1015</v>
      </c>
      <c r="Z15" s="25" t="s">
        <v>124</v>
      </c>
      <c r="AB15" s="23" t="str">
        <f>CONCATENATE(CI_!$AE$1,E15,", '",F15,"', '",G15,"' , '",H15,"' , ",I15,",",J15," , ",K15,", '",L15,"', '",M15,"' ,'",N15,"' , '",O15,"' , '",P15,"' , '",Q15,"' , '",R15,"','",S15,"','",T15,"','",U15,"','",V15,"','",W15,"','",X15,"','",Y15,"','",Z15,"'")</f>
        <v>EXECUTE [dbo].[PG_CI_ARCUSFIL_SQL] 0, 0, 0, 14, 'Leatherworks LLC', 'LEATHERWORKS LLC' , 'LEAW01' , 200,221 , 54, 'ALLEN PARK', 'ATTN Accounts Payable' ,'16630 Southfield Road, Suite 3100' , '48101' , '2001-08-22' , '14' , '1','','2','MFUEX','','USD','','Duty Paid','N'</v>
      </c>
      <c r="AC15" s="11"/>
    </row>
    <row r="16" spans="1:31" s="10" customFormat="1" x14ac:dyDescent="0.25">
      <c r="A16" s="19"/>
      <c r="B16" s="20">
        <v>0</v>
      </c>
      <c r="C16" s="20">
        <v>0</v>
      </c>
      <c r="D16" s="20">
        <v>0</v>
      </c>
      <c r="E16" s="27">
        <v>15</v>
      </c>
      <c r="F16" s="21" t="s">
        <v>543</v>
      </c>
      <c r="G16" s="21" t="s">
        <v>543</v>
      </c>
      <c r="H16" s="25" t="s">
        <v>619</v>
      </c>
      <c r="I16" s="31">
        <v>200</v>
      </c>
      <c r="J16" s="31">
        <v>221</v>
      </c>
      <c r="K16" s="31">
        <v>54</v>
      </c>
      <c r="L16" s="32" t="s">
        <v>669</v>
      </c>
      <c r="M16" s="32" t="s">
        <v>721</v>
      </c>
      <c r="N16" s="32"/>
      <c r="O16" s="25" t="s">
        <v>802</v>
      </c>
      <c r="P16" s="37" t="s">
        <v>849</v>
      </c>
      <c r="Q16" s="36">
        <f>E16</f>
        <v>15</v>
      </c>
      <c r="R16" s="36">
        <v>1</v>
      </c>
      <c r="S16" s="25"/>
      <c r="T16" s="25">
        <v>2</v>
      </c>
      <c r="U16" s="25" t="s">
        <v>250</v>
      </c>
      <c r="V16" s="25"/>
      <c r="W16" s="25" t="s">
        <v>126</v>
      </c>
      <c r="X16" s="25"/>
      <c r="Y16" s="25" t="s">
        <v>1006</v>
      </c>
      <c r="Z16" s="25" t="s">
        <v>124</v>
      </c>
      <c r="AB16" s="23" t="str">
        <f>CONCATENATE(CI_!$AE$1,E16,", '",F16,"', '",G16,"' , '",H16,"' , ",I16,",",J16," , ",K16,", '",L16,"', '",M16,"' ,'",N16,"' , '",O16,"' , '",P16,"' , '",Q16,"' , '",R16,"','",S16,"','",T16,"','",U16,"','",V16,"','",W16,"','",X16,"','",Y16,"','",Z16,"'")</f>
        <v>EXECUTE [dbo].[PG_CI_ARCUSFIL_SQL] 0, 0, 0, 15, 'LEAR CORPORATION - GM DIVISION', 'LEAR CORPORATION - GM DIVISION' , 'LEGM01' , 200,221 , 54, 'WARREN', '5800 ENTERPRISE DRIVE' ,'' , '48092' , '1999-11-19' , '15' , '1','','2','MFUEX','','USD','','N/A','N'</v>
      </c>
      <c r="AC16" s="11"/>
    </row>
    <row r="17" spans="1:29" s="10" customFormat="1" x14ac:dyDescent="0.25">
      <c r="A17" s="19"/>
      <c r="B17" s="20">
        <v>0</v>
      </c>
      <c r="C17" s="20">
        <v>0</v>
      </c>
      <c r="D17" s="20">
        <v>0</v>
      </c>
      <c r="E17" s="27">
        <v>16</v>
      </c>
      <c r="F17" s="21" t="s">
        <v>544</v>
      </c>
      <c r="G17" s="21" t="s">
        <v>544</v>
      </c>
      <c r="H17" s="25" t="s">
        <v>620</v>
      </c>
      <c r="I17" s="31">
        <v>200</v>
      </c>
      <c r="J17" s="31">
        <v>221</v>
      </c>
      <c r="K17" s="31">
        <v>54</v>
      </c>
      <c r="L17" s="32" t="s">
        <v>670</v>
      </c>
      <c r="M17" s="32" t="s">
        <v>722</v>
      </c>
      <c r="N17" s="32"/>
      <c r="O17" s="25" t="s">
        <v>803</v>
      </c>
      <c r="P17" s="37" t="s">
        <v>850</v>
      </c>
      <c r="Q17" s="36">
        <f>E17</f>
        <v>16</v>
      </c>
      <c r="R17" s="36">
        <v>1</v>
      </c>
      <c r="S17" s="25"/>
      <c r="T17" s="25">
        <v>2</v>
      </c>
      <c r="U17" s="25" t="s">
        <v>250</v>
      </c>
      <c r="V17" s="25"/>
      <c r="W17" s="25" t="s">
        <v>126</v>
      </c>
      <c r="X17" s="25"/>
      <c r="Y17" s="25" t="s">
        <v>1006</v>
      </c>
      <c r="Z17" s="25" t="s">
        <v>124</v>
      </c>
      <c r="AB17" s="23" t="str">
        <f>CONCATENATE(CI_!$AE$1,E17,", '",F17,"', '",G17,"' , '",H17,"' , ",I17,",",J17," , ",K17,", '",L17,"', '",M17,"' ,'",N17,"' , '",O17,"' , '",P17,"' , '",Q17,"' , '",R17,"','",S17,"','",T17,"','",U17,"','",V17,"','",W17,"','",X17,"','",Y17,"','",Z17,"'")</f>
        <v>EXECUTE [dbo].[PG_CI_ARCUSFIL_SQL] 0, 0, 0, 16, 'LEAR CORP FORD DIVISION', 'LEAR CORP FORD DIVISION' , 'LFOR01' , 200,221 , 54, 'DEARBORN', '5250 AUTO CLUB DRIVE ANNEX' ,'' , '48126' , '1999-04-30' , '16' , '1','','2','MFUEX','','USD','','N/A','N'</v>
      </c>
      <c r="AC17" s="11"/>
    </row>
    <row r="18" spans="1:29" s="10" customFormat="1" x14ac:dyDescent="0.25">
      <c r="A18" s="19"/>
      <c r="B18" s="20">
        <v>0</v>
      </c>
      <c r="C18" s="20">
        <v>0</v>
      </c>
      <c r="D18" s="20">
        <v>0</v>
      </c>
      <c r="E18" s="27">
        <v>17</v>
      </c>
      <c r="F18" s="21" t="s">
        <v>545</v>
      </c>
      <c r="G18" s="21" t="s">
        <v>545</v>
      </c>
      <c r="H18" s="25" t="s">
        <v>621</v>
      </c>
      <c r="I18" s="31">
        <v>200</v>
      </c>
      <c r="J18" s="31">
        <v>221</v>
      </c>
      <c r="K18" s="31">
        <v>75</v>
      </c>
      <c r="L18" s="32" t="s">
        <v>671</v>
      </c>
      <c r="M18" s="32" t="s">
        <v>723</v>
      </c>
      <c r="N18" s="32" t="s">
        <v>766</v>
      </c>
      <c r="O18" s="25" t="s">
        <v>804</v>
      </c>
      <c r="P18" s="37" t="s">
        <v>851</v>
      </c>
      <c r="Q18" s="36">
        <f>E18</f>
        <v>17</v>
      </c>
      <c r="R18" s="36">
        <v>1</v>
      </c>
      <c r="S18" s="25"/>
      <c r="T18" s="25">
        <v>2</v>
      </c>
      <c r="U18" s="25" t="s">
        <v>120</v>
      </c>
      <c r="V18" s="25"/>
      <c r="W18" s="25" t="s">
        <v>126</v>
      </c>
      <c r="X18" s="25"/>
      <c r="Y18" s="25" t="s">
        <v>1006</v>
      </c>
      <c r="Z18" s="25" t="s">
        <v>124</v>
      </c>
      <c r="AB18" s="23" t="str">
        <f>CONCATENATE(CI_!$AE$1,E18,", '",F18,"', '",G18,"' , '",H18,"' , ",I18,",",J18," , ",K18,", '",L18,"', '",M18,"' ,'",N18,"' , '",O18,"' , '",P18,"' , '",Q18,"' , '",R18,"','",S18,"','",T18,"','",U18,"','",V18,"','",W18,"','",X18,"','",Y18,"','",Z18,"'")</f>
        <v>EXECUTE [dbo].[PG_CI_ARCUSFIL_SQL] 0, 0, 0, 17, 'SEATING SYSTEMS OF SABINAS', 'SEATING SYSTEMS OF SABINAS' , 'MAGN01' , 200,221 , 75, 'EAGLE PASS', 'A DIV OF Magna Seating of America, Inc.' ,'540 SOUTH BIBB PMB #1' , '78852' , '1999-11-12' , '17' , '1','','2','MCUEX','','USD','','N/A','N'</v>
      </c>
      <c r="AC18" s="11"/>
    </row>
    <row r="19" spans="1:29" s="10" customFormat="1" x14ac:dyDescent="0.25">
      <c r="A19" s="19"/>
      <c r="B19" s="20">
        <v>0</v>
      </c>
      <c r="C19" s="20">
        <v>0</v>
      </c>
      <c r="D19" s="20">
        <v>0</v>
      </c>
      <c r="E19" s="27">
        <v>18</v>
      </c>
      <c r="F19" s="21" t="s">
        <v>546</v>
      </c>
      <c r="G19" s="21" t="s">
        <v>580</v>
      </c>
      <c r="H19" s="25" t="s">
        <v>622</v>
      </c>
      <c r="I19" s="31">
        <v>200</v>
      </c>
      <c r="J19" s="31">
        <v>221</v>
      </c>
      <c r="K19" s="31">
        <v>75</v>
      </c>
      <c r="L19" s="32" t="s">
        <v>661</v>
      </c>
      <c r="M19" s="32" t="s">
        <v>724</v>
      </c>
      <c r="N19" s="32" t="s">
        <v>767</v>
      </c>
      <c r="O19" s="25" t="s">
        <v>792</v>
      </c>
      <c r="P19" s="37" t="s">
        <v>852</v>
      </c>
      <c r="Q19" s="36">
        <f>E19</f>
        <v>18</v>
      </c>
      <c r="R19" s="36">
        <v>1</v>
      </c>
      <c r="S19" s="25"/>
      <c r="T19" s="25">
        <v>2</v>
      </c>
      <c r="U19" s="25" t="s">
        <v>120</v>
      </c>
      <c r="V19" s="25"/>
      <c r="W19" s="25" t="s">
        <v>126</v>
      </c>
      <c r="X19" s="25"/>
      <c r="Y19" s="25" t="s">
        <v>1006</v>
      </c>
      <c r="Z19" s="25" t="s">
        <v>124</v>
      </c>
      <c r="AB19" s="23" t="str">
        <f>CONCATENATE(CI_!$AE$1,E19,", '",F19,"', '",G19,"' , '",H19,"' , ",I19,",",J19," , ",K19,", '",L19,"', '",M19,"' ,'",N19,"' , '",O19,"' , '",P19,"' , '",Q19,"' , '",R19,"','",S19,"','",T19,"','",U19,"','",V19,"','",W19,"','",X19,"','",Y19,"','",Z19,"'")</f>
        <v>EXECUTE [dbo].[PG_CI_ARCUSFIL_SQL] 0, 0, 0, 18, 'MAGNA SEATING OF AMERICA INC (ACUÑA)', 'MAGNA SEATING OF AMERICA' , 'MAGN02' , 200,221 , 75, 'DEL RIO', '2199 SPUR 239' ,'MAILING TO: P.O BOX 420699' , '78840' , '2000-02-01' , '18' , '1','','2','MCUEX','','USD','','N/A','N'</v>
      </c>
      <c r="AC19" s="11"/>
    </row>
    <row r="20" spans="1:29" s="10" customFormat="1" x14ac:dyDescent="0.25">
      <c r="A20" s="19"/>
      <c r="B20" s="20">
        <v>0</v>
      </c>
      <c r="C20" s="20">
        <v>0</v>
      </c>
      <c r="D20" s="20">
        <v>0</v>
      </c>
      <c r="E20" s="27">
        <v>19</v>
      </c>
      <c r="F20" s="21" t="s">
        <v>547</v>
      </c>
      <c r="G20" s="21" t="s">
        <v>581</v>
      </c>
      <c r="H20" s="25" t="s">
        <v>623</v>
      </c>
      <c r="I20" s="31">
        <v>200</v>
      </c>
      <c r="J20" s="31">
        <v>221</v>
      </c>
      <c r="K20" s="31">
        <v>75</v>
      </c>
      <c r="L20" s="32" t="s">
        <v>661</v>
      </c>
      <c r="M20" s="32" t="s">
        <v>724</v>
      </c>
      <c r="N20" s="32" t="s">
        <v>768</v>
      </c>
      <c r="O20" s="25" t="s">
        <v>792</v>
      </c>
      <c r="P20" s="37" t="s">
        <v>853</v>
      </c>
      <c r="Q20" s="36">
        <f>E20</f>
        <v>19</v>
      </c>
      <c r="R20" s="36">
        <v>1</v>
      </c>
      <c r="S20" s="25"/>
      <c r="T20" s="25">
        <v>2</v>
      </c>
      <c r="U20" s="25" t="s">
        <v>120</v>
      </c>
      <c r="V20" s="25"/>
      <c r="W20" s="25" t="s">
        <v>126</v>
      </c>
      <c r="X20" s="25"/>
      <c r="Y20" s="25" t="s">
        <v>1006</v>
      </c>
      <c r="Z20" s="25" t="s">
        <v>124</v>
      </c>
      <c r="AB20" s="23" t="str">
        <f>CONCATENATE(CI_!$AE$1,E20,", '",F20,"', '",G20,"' , '",H20,"' , ",I20,",",J20," , ",K20,", '",L20,"', '",M20,"' ,'",N20,"' , '",O20,"' , '",P20,"' , '",Q20,"' , '",R20,"','",S20,"','",T20,"','",U20,"','",V20,"','",W20,"','",X20,"','",Y20,"','",Z20,"'")</f>
        <v>EXECUTE [dbo].[PG_CI_ARCUSFIL_SQL] 0, 0, 0, 19, 'SEATING SYS.OF ACUNA DIV INTIER AUTO', 'MAGNA SEATING SYSTEMS OF ACUNA' , 'MAGN03' , 200,221 , 75, 'DEL RIO', '2199 SPUR 239' ,'P.O. BOX 420699' , '78840' , '2000-07-28' , '19' , '1','','2','MCUEX','','USD','','N/A','N'</v>
      </c>
      <c r="AC20" s="11"/>
    </row>
    <row r="21" spans="1:29" s="10" customFormat="1" x14ac:dyDescent="0.25">
      <c r="A21" s="19"/>
      <c r="B21" s="20">
        <v>0</v>
      </c>
      <c r="C21" s="20">
        <v>0</v>
      </c>
      <c r="D21" s="20">
        <v>0</v>
      </c>
      <c r="E21" s="27">
        <v>20</v>
      </c>
      <c r="F21" s="21" t="s">
        <v>550</v>
      </c>
      <c r="G21" s="21" t="s">
        <v>550</v>
      </c>
      <c r="H21" s="25" t="s">
        <v>626</v>
      </c>
      <c r="I21" s="31">
        <v>200</v>
      </c>
      <c r="J21" s="31">
        <v>213</v>
      </c>
      <c r="K21" s="31">
        <v>83</v>
      </c>
      <c r="L21" s="32" t="s">
        <v>673</v>
      </c>
      <c r="M21" s="32" t="s">
        <v>726</v>
      </c>
      <c r="N21" s="32" t="s">
        <v>769</v>
      </c>
      <c r="O21" s="25" t="s">
        <v>806</v>
      </c>
      <c r="P21" s="37" t="s">
        <v>855</v>
      </c>
      <c r="Q21" s="36">
        <f>E21</f>
        <v>20</v>
      </c>
      <c r="R21" s="36">
        <v>1</v>
      </c>
      <c r="S21" s="25"/>
      <c r="T21" s="25">
        <v>2</v>
      </c>
      <c r="U21" s="25" t="s">
        <v>250</v>
      </c>
      <c r="V21" s="25"/>
      <c r="W21" s="25" t="s">
        <v>126</v>
      </c>
      <c r="X21" s="25"/>
      <c r="Y21" s="25" t="s">
        <v>1006</v>
      </c>
      <c r="Z21" s="25" t="s">
        <v>124</v>
      </c>
      <c r="AB21" s="23" t="str">
        <f>CONCATENATE(CI_!$AE$1,E21,", '",F21,"', '",G21,"' , '",H21,"' , ",I21,",",J21," , ",K21,", '",L21,"', '",M21,"' ,'",N21,"' , '",O21,"' , '",P21,"' , '",Q21,"' , '",R21,"','",S21,"','",T21,"','",U21,"','",V21,"','",W21,"','",X21,"','",Y21,"','",Z21,"'")</f>
        <v>EXECUTE [dbo].[PG_CI_ARCUSFIL_SQL] 0, 0, 0, 20, 'MAZDA CANADA INC', 'MAZDA CANADA INC' , 'MAZC01' , 200,213 , 83, 'SCARBOROUGH', '305 MILNER AVENUE,' ,'SUITE 400' , 'MIB 3V4' , '2000-03-22' , '20' , '1','','2','MFUEX','','USD','','N/A','N'</v>
      </c>
      <c r="AC21" s="11"/>
    </row>
    <row r="22" spans="1:29" s="10" customFormat="1" x14ac:dyDescent="0.25">
      <c r="A22" s="19"/>
      <c r="B22" s="20">
        <v>0</v>
      </c>
      <c r="C22" s="20">
        <v>0</v>
      </c>
      <c r="D22" s="20">
        <v>0</v>
      </c>
      <c r="E22" s="27">
        <v>21</v>
      </c>
      <c r="F22" s="21" t="s">
        <v>551</v>
      </c>
      <c r="G22" s="21" t="s">
        <v>551</v>
      </c>
      <c r="H22" s="25" t="s">
        <v>627</v>
      </c>
      <c r="I22" s="31">
        <v>200</v>
      </c>
      <c r="J22" s="31">
        <v>221</v>
      </c>
      <c r="K22" s="31">
        <v>37</v>
      </c>
      <c r="L22" s="32" t="s">
        <v>674</v>
      </c>
      <c r="M22" s="32" t="s">
        <v>727</v>
      </c>
      <c r="N22" s="32"/>
      <c r="O22" s="25" t="s">
        <v>384</v>
      </c>
      <c r="P22" s="37" t="s">
        <v>855</v>
      </c>
      <c r="Q22" s="36">
        <f>E22</f>
        <v>21</v>
      </c>
      <c r="R22" s="36">
        <v>1</v>
      </c>
      <c r="S22" s="25"/>
      <c r="T22" s="25">
        <v>2</v>
      </c>
      <c r="U22" s="25" t="s">
        <v>250</v>
      </c>
      <c r="V22" s="25"/>
      <c r="W22" s="25" t="s">
        <v>126</v>
      </c>
      <c r="X22" s="25"/>
      <c r="Y22" s="25" t="s">
        <v>1006</v>
      </c>
      <c r="Z22" s="25" t="s">
        <v>124</v>
      </c>
      <c r="AB22" s="23" t="str">
        <f>CONCATENATE(CI_!$AE$1,E22,", '",F22,"', '",G22,"' , '",H22,"' , ",I22,",",J22," , ",K22,", '",L22,"', '",M22,"' ,'",N22,"' , '",O22,"' , '",P22,"' , '",Q22,"' , '",R22,"','",S22,"','",T22,"','",U22,"','",V22,"','",W22,"','",X22,"','",Y22,"','",Z22,"'")</f>
        <v>EXECUTE [dbo].[PG_CI_ARCUSFIL_SQL] 0, 0, 0, 21, 'MAZDA NORTH AMERICAN OPERATION', 'MAZDA NORTH AMERICAN OPERATION' , 'MAZN01' , 200,221 , 37, 'IRVINE', '7755 IRVINE CENTRE DRIVE' ,'' , '92618-2922' , '2000-03-22' , '21' , '1','','2','MFUEX','','USD','','N/A','N'</v>
      </c>
      <c r="AC22" s="11"/>
    </row>
    <row r="23" spans="1:29" s="10" customFormat="1" x14ac:dyDescent="0.25">
      <c r="A23" s="19"/>
      <c r="B23" s="20">
        <v>0</v>
      </c>
      <c r="C23" s="20">
        <v>0</v>
      </c>
      <c r="D23" s="20">
        <v>0</v>
      </c>
      <c r="E23" s="27">
        <v>22</v>
      </c>
      <c r="F23" s="21" t="s">
        <v>552</v>
      </c>
      <c r="G23" s="21" t="s">
        <v>583</v>
      </c>
      <c r="H23" s="25" t="s">
        <v>628</v>
      </c>
      <c r="I23" s="31">
        <v>500</v>
      </c>
      <c r="J23" s="31">
        <v>501</v>
      </c>
      <c r="K23" s="31">
        <v>105</v>
      </c>
      <c r="L23" s="32" t="s">
        <v>675</v>
      </c>
      <c r="M23" s="32" t="s">
        <v>728</v>
      </c>
      <c r="N23" s="32" t="s">
        <v>770</v>
      </c>
      <c r="O23" s="25" t="s">
        <v>807</v>
      </c>
      <c r="P23" s="37" t="s">
        <v>856</v>
      </c>
      <c r="Q23" s="36">
        <f>E23</f>
        <v>22</v>
      </c>
      <c r="R23" s="36">
        <v>1</v>
      </c>
      <c r="S23" s="25"/>
      <c r="T23" s="25">
        <v>2</v>
      </c>
      <c r="U23" s="25" t="s">
        <v>143</v>
      </c>
      <c r="V23" s="25"/>
      <c r="W23" s="25" t="s">
        <v>126</v>
      </c>
      <c r="X23" s="25"/>
      <c r="Y23" s="25" t="s">
        <v>1014</v>
      </c>
      <c r="Z23" s="25" t="s">
        <v>124</v>
      </c>
      <c r="AB23" s="23" t="str">
        <f>CONCATENATE(CI_!$AE$1,E23,", '",F23,"', '",G23,"' , '",H23,"' , ",I23,",",J23," , ",K23,", '",L23,"', '",M23,"' ,'",N23,"' , '",O23,"' , '",P23,"' , '",Q23,"' , '",R23,"','",S23,"','",T23,"','",U23,"','",V23,"','",W23,"','",X23,"','",Y23,"','",Z23,"'")</f>
        <v>EXECUTE [dbo].[PG_CI_ARCUSFIL_SQL] 0, 0, 0, 22, 'MCDONALD EXP-DO NOT USE', 'MCDONALD EXPORTS -DO NOT USE' , 'MCDO01' , 500,501 , 105, 'SOUTHPORT', 'SUITE 1 SOUTHPORT CHASE' ,'19 EXPO COURT' , '4215' , '2001-08-03' , '22' , '1','','2','MISC ','','USD','','ABN','N'</v>
      </c>
      <c r="AC23" s="11"/>
    </row>
    <row r="24" spans="1:29" s="10" customFormat="1" x14ac:dyDescent="0.25">
      <c r="A24" s="19"/>
      <c r="B24" s="20">
        <v>0</v>
      </c>
      <c r="C24" s="20">
        <v>0</v>
      </c>
      <c r="D24" s="20">
        <v>0</v>
      </c>
      <c r="E24" s="27">
        <v>23</v>
      </c>
      <c r="F24" s="21" t="s">
        <v>553</v>
      </c>
      <c r="G24" s="21" t="s">
        <v>553</v>
      </c>
      <c r="H24" s="25" t="s">
        <v>629</v>
      </c>
      <c r="I24" s="31">
        <v>500</v>
      </c>
      <c r="J24" s="31">
        <v>501</v>
      </c>
      <c r="K24" s="31">
        <v>105</v>
      </c>
      <c r="L24" s="32" t="s">
        <v>675</v>
      </c>
      <c r="M24" s="32" t="s">
        <v>728</v>
      </c>
      <c r="N24" s="32" t="s">
        <v>770</v>
      </c>
      <c r="O24" s="25" t="s">
        <v>807</v>
      </c>
      <c r="P24" s="37" t="s">
        <v>856</v>
      </c>
      <c r="Q24" s="36">
        <f>E24</f>
        <v>23</v>
      </c>
      <c r="R24" s="36">
        <v>1</v>
      </c>
      <c r="S24" s="25"/>
      <c r="T24" s="25">
        <v>2</v>
      </c>
      <c r="U24" s="25" t="s">
        <v>143</v>
      </c>
      <c r="V24" s="25"/>
      <c r="W24" s="25" t="s">
        <v>126</v>
      </c>
      <c r="X24" s="25"/>
      <c r="Y24" s="25" t="s">
        <v>1014</v>
      </c>
      <c r="Z24" s="25" t="s">
        <v>124</v>
      </c>
      <c r="AB24" s="23" t="str">
        <f>CONCATENATE(CI_!$AE$1,E24,", '",F24,"', '",G24,"' , '",H24,"' , ",I24,",",J24," , ",K24,", '",L24,"', '",M24,"' ,'",N24,"' , '",O24,"' , '",P24,"' , '",Q24,"' , '",R24,"','",S24,"','",T24,"','",U24,"','",V24,"','",W24,"','",X24,"','",Y24,"','",Z24,"'")</f>
        <v>EXECUTE [dbo].[PG_CI_ARCUSFIL_SQL] 0, 0, 0, 23, 'MCDONALD EXPORTS (AUST) P/L', 'MCDONALD EXPORTS (AUST) P/L' , 'MCDO02' , 500,501 , 105, 'SOUTHPORT', 'SUITE 1 SOUTHPORT CHASE' ,'19 EXPO COURT' , '4215' , '2001-08-03' , '23' , '1','','2','MISC ','','USD','','ABN','N'</v>
      </c>
      <c r="AC24" s="11"/>
    </row>
    <row r="25" spans="1:29" s="10" customFormat="1" x14ac:dyDescent="0.25">
      <c r="A25" s="19"/>
      <c r="B25" s="20">
        <v>0</v>
      </c>
      <c r="C25" s="20">
        <v>0</v>
      </c>
      <c r="D25" s="20">
        <v>0</v>
      </c>
      <c r="E25" s="27">
        <v>24</v>
      </c>
      <c r="F25" s="21" t="s">
        <v>554</v>
      </c>
      <c r="G25" s="21" t="s">
        <v>554</v>
      </c>
      <c r="H25" s="25" t="s">
        <v>630</v>
      </c>
      <c r="I25" s="31">
        <v>200</v>
      </c>
      <c r="J25" s="31">
        <v>221</v>
      </c>
      <c r="K25" s="31">
        <v>54</v>
      </c>
      <c r="L25" s="32" t="s">
        <v>676</v>
      </c>
      <c r="M25" s="32" t="s">
        <v>729</v>
      </c>
      <c r="N25" s="32" t="s">
        <v>771</v>
      </c>
      <c r="O25" s="25" t="s">
        <v>808</v>
      </c>
      <c r="P25" s="37" t="s">
        <v>857</v>
      </c>
      <c r="Q25" s="36">
        <f>E25</f>
        <v>24</v>
      </c>
      <c r="R25" s="36">
        <v>1</v>
      </c>
      <c r="S25" s="25"/>
      <c r="T25" s="25">
        <v>2</v>
      </c>
      <c r="U25" s="25" t="s">
        <v>120</v>
      </c>
      <c r="V25" s="25"/>
      <c r="W25" s="25" t="s">
        <v>126</v>
      </c>
      <c r="X25" s="25"/>
      <c r="Y25" s="25" t="s">
        <v>1006</v>
      </c>
      <c r="Z25" s="25" t="s">
        <v>128</v>
      </c>
      <c r="AB25" s="23" t="str">
        <f>CONCATENATE(CI_!$AE$1,E25,", '",F25,"', '",G25,"' , '",H25,"' , ",I25,",",J25," , ",K25,", '",L25,"', '",M25,"' ,'",N25,"' , '",O25,"' , '",P25,"' , '",Q25,"' , '",R25,"','",S25,"','",T25,"','",U25,"','",V25,"','",W25,"','",X25,"','",Y25,"','",Z25,"'")</f>
        <v>EXECUTE [dbo].[PG_CI_ARCUSFIL_SQL] 0, 0, 0, 24, 'MEXICAN INDUSTRIES**DO NOT USE**', 'MEXICAN INDUSTRIES**DO NOT USE**' , 'MEXI02' , 200,221 , 54, 'DETROIT', 'ATT : PATTY ODELL' ,'1801 HOWARD STREET' , '48216' , '1998-11-30' , '24' , '1','','2','MCUEX','','USD','','N/A','Y'</v>
      </c>
      <c r="AC25" s="11"/>
    </row>
    <row r="26" spans="1:29" s="10" customFormat="1" x14ac:dyDescent="0.25">
      <c r="A26" s="19"/>
      <c r="B26" s="20">
        <v>0</v>
      </c>
      <c r="C26" s="20">
        <v>0</v>
      </c>
      <c r="D26" s="20">
        <v>0</v>
      </c>
      <c r="E26" s="27">
        <v>25</v>
      </c>
      <c r="F26" s="21" t="s">
        <v>555</v>
      </c>
      <c r="G26" s="21" t="s">
        <v>584</v>
      </c>
      <c r="H26" s="25" t="s">
        <v>631</v>
      </c>
      <c r="I26" s="31">
        <v>200</v>
      </c>
      <c r="J26" s="31">
        <v>221</v>
      </c>
      <c r="K26" s="31">
        <v>46</v>
      </c>
      <c r="L26" s="32" t="s">
        <v>677</v>
      </c>
      <c r="M26" s="32" t="s">
        <v>730</v>
      </c>
      <c r="N26" s="32"/>
      <c r="O26" s="25" t="s">
        <v>809</v>
      </c>
      <c r="P26" s="37" t="s">
        <v>858</v>
      </c>
      <c r="Q26" s="36">
        <f>E26</f>
        <v>25</v>
      </c>
      <c r="R26" s="36">
        <v>1</v>
      </c>
      <c r="S26" s="25"/>
      <c r="T26" s="25">
        <v>2</v>
      </c>
      <c r="U26" s="25" t="s">
        <v>120</v>
      </c>
      <c r="V26" s="25"/>
      <c r="W26" s="25" t="s">
        <v>126</v>
      </c>
      <c r="X26" s="25"/>
      <c r="Y26" s="25" t="s">
        <v>1006</v>
      </c>
      <c r="Z26" s="25" t="s">
        <v>124</v>
      </c>
      <c r="AB26" s="23" t="str">
        <f>CONCATENATE(CI_!$AE$1,E26,", '",F26,"', '",G26,"' , '",H26,"' , ",I26,",",J26," , ",K26,", '",L26,"', '",M26,"' ,'",N26,"' , '",O26,"' , '",P26,"' , '",Q26,"' , '",R26,"','",S26,"','",T26,"','",U26,"','",V26,"','",W26,"','",X26,"','",Y26,"','",Z26,"'")</f>
        <v>EXECUTE [dbo].[PG_CI_ARCUSFIL_SQL] 0, 0, 0, 25, 'MORIDEN AMERICA, INC.', 'MORIDEN' , 'MORI01' , 200,221 , 46, 'INDIANAPOLIS', '915 WESTERN DRIVE' ,'' , '46241' , '1998-07-01' , '25' , '1','','2','MCUEX','','USD','','N/A','N'</v>
      </c>
      <c r="AC26" s="11"/>
    </row>
    <row r="27" spans="1:29" s="10" customFormat="1" x14ac:dyDescent="0.25">
      <c r="A27" s="19"/>
      <c r="B27" s="20">
        <v>0</v>
      </c>
      <c r="C27" s="20">
        <v>0</v>
      </c>
      <c r="D27" s="20">
        <v>0</v>
      </c>
      <c r="E27" s="27">
        <v>26</v>
      </c>
      <c r="F27" s="21" t="s">
        <v>556</v>
      </c>
      <c r="G27" s="21" t="s">
        <v>585</v>
      </c>
      <c r="H27" s="25" t="s">
        <v>632</v>
      </c>
      <c r="I27" s="31">
        <v>200</v>
      </c>
      <c r="J27" s="31">
        <v>213</v>
      </c>
      <c r="K27" s="31">
        <v>83</v>
      </c>
      <c r="L27" s="32" t="s">
        <v>649</v>
      </c>
      <c r="M27" s="32" t="s">
        <v>731</v>
      </c>
      <c r="N27" s="32" t="s">
        <v>772</v>
      </c>
      <c r="O27" s="25" t="s">
        <v>810</v>
      </c>
      <c r="P27" s="37" t="s">
        <v>859</v>
      </c>
      <c r="Q27" s="36">
        <f>E27</f>
        <v>26</v>
      </c>
      <c r="R27" s="36">
        <v>1</v>
      </c>
      <c r="S27" s="25"/>
      <c r="T27" s="25">
        <v>8</v>
      </c>
      <c r="U27" s="25" t="s">
        <v>187</v>
      </c>
      <c r="V27" s="25"/>
      <c r="W27" s="25" t="s">
        <v>126</v>
      </c>
      <c r="X27" s="25" t="s">
        <v>1013</v>
      </c>
      <c r="Y27" s="25" t="s">
        <v>1006</v>
      </c>
      <c r="Z27" s="25" t="s">
        <v>124</v>
      </c>
      <c r="AB27" s="23" t="str">
        <f>CONCATENATE(CI_!$AE$1,E27,", '",F27,"', '",G27,"' , '",H27,"' , ",I27,",",J27," , ",K27,", '",L27,"', '",M27,"' ,'",N27,"' , '",O27,"' , '",P27,"' , '",Q27,"' , '",R27,"','",S27,"','",T27,"','",U27,"','",V27,"','",W27,"','",X27,"','",Y27,"','",Z27,"'")</f>
        <v>EXECUTE [dbo].[PG_CI_ARCUSFIL_SQL] 0, 0, 0, 26, '1004274 ONTARIO LTD', 'ONTARIO LTD' , 'ONTA01' , 200,213 , 83, 'ONTARIO', '993 BUCKSKIN WAY' ,'ORLEANS' , '2Y7' , '2000-06-22' , '26' , '1','','8','MSUEX','','USD','L/C','N/A','N'</v>
      </c>
      <c r="AC27" s="11"/>
    </row>
    <row r="28" spans="1:29" s="10" customFormat="1" x14ac:dyDescent="0.25">
      <c r="A28" s="19"/>
      <c r="B28" s="20">
        <v>0</v>
      </c>
      <c r="C28" s="20">
        <v>0</v>
      </c>
      <c r="D28" s="20">
        <v>0</v>
      </c>
      <c r="E28" s="27">
        <v>27</v>
      </c>
      <c r="F28" s="21" t="s">
        <v>560</v>
      </c>
      <c r="G28" s="21" t="s">
        <v>560</v>
      </c>
      <c r="H28" s="25" t="s">
        <v>636</v>
      </c>
      <c r="I28" s="31">
        <v>200</v>
      </c>
      <c r="J28" s="31">
        <v>221</v>
      </c>
      <c r="K28" s="31">
        <v>54</v>
      </c>
      <c r="L28" s="32" t="s">
        <v>682</v>
      </c>
      <c r="M28" s="32" t="s">
        <v>735</v>
      </c>
      <c r="N28" s="32"/>
      <c r="O28" s="25" t="s">
        <v>442</v>
      </c>
      <c r="P28" s="37" t="s">
        <v>861</v>
      </c>
      <c r="Q28" s="36">
        <f>E28</f>
        <v>27</v>
      </c>
      <c r="R28" s="36">
        <v>1</v>
      </c>
      <c r="S28" s="25"/>
      <c r="T28" s="25">
        <v>2</v>
      </c>
      <c r="U28" s="25" t="s">
        <v>120</v>
      </c>
      <c r="V28" s="25"/>
      <c r="W28" s="25" t="s">
        <v>126</v>
      </c>
      <c r="X28" s="25"/>
      <c r="Y28" s="25" t="s">
        <v>1006</v>
      </c>
      <c r="Z28" s="25" t="s">
        <v>124</v>
      </c>
      <c r="AB28" s="23" t="str">
        <f>CONCATENATE(CI_!$AE$1,E28,", '",F28,"', '",G28,"' , '",H28,"' , ",I28,",",J28," , ",K28,", '",L28,"', '",M28,"' ,'",N28,"' , '",O28,"' , '",P28,"' , '",Q28,"' , '",R28,"','",S28,"','",T28,"','",U28,"','",V28,"','",W28,"','",X28,"','",Y28,"','",Z28,"'")</f>
        <v>EXECUTE [dbo].[PG_CI_ARCUSFIL_SQL] 0, 0, 0, 27, 'TECHNOTRIM', 'TECHNOTRIM' , 'TECH01' , 200,221 , 54, 'CANTON', '42015 FORD ROAD BOX 358' ,'' , '48187-3669' , '2000-01-31' , '27' , '1','','2','MCUEX','','USD','','N/A','N'</v>
      </c>
      <c r="AC28" s="11"/>
    </row>
    <row r="29" spans="1:29" s="10" customFormat="1" x14ac:dyDescent="0.25">
      <c r="A29" s="19"/>
      <c r="B29" s="20">
        <v>0</v>
      </c>
      <c r="C29" s="20">
        <v>0</v>
      </c>
      <c r="D29" s="20">
        <v>0</v>
      </c>
      <c r="E29" s="27">
        <v>28</v>
      </c>
      <c r="F29" s="21" t="s">
        <v>562</v>
      </c>
      <c r="G29" s="21" t="s">
        <v>562</v>
      </c>
      <c r="H29" s="25" t="s">
        <v>638</v>
      </c>
      <c r="I29" s="31">
        <v>200</v>
      </c>
      <c r="J29" s="31">
        <v>221</v>
      </c>
      <c r="K29" s="31">
        <v>54</v>
      </c>
      <c r="L29" s="32" t="s">
        <v>683</v>
      </c>
      <c r="M29" s="32" t="s">
        <v>737</v>
      </c>
      <c r="N29" s="32"/>
      <c r="O29" s="25" t="s">
        <v>452</v>
      </c>
      <c r="P29" s="37" t="s">
        <v>863</v>
      </c>
      <c r="Q29" s="36">
        <f>E29</f>
        <v>28</v>
      </c>
      <c r="R29" s="36">
        <v>1</v>
      </c>
      <c r="S29" s="25"/>
      <c r="T29" s="25">
        <v>2</v>
      </c>
      <c r="U29" s="25" t="s">
        <v>120</v>
      </c>
      <c r="V29" s="25"/>
      <c r="W29" s="25" t="s">
        <v>126</v>
      </c>
      <c r="X29" s="25"/>
      <c r="Y29" s="25" t="s">
        <v>1006</v>
      </c>
      <c r="Z29" s="25" t="s">
        <v>124</v>
      </c>
      <c r="AB29" s="23" t="str">
        <f>CONCATENATE(CI_!$AE$1,E29,", '",F29,"', '",G29,"' , '",H29,"' , ",I29,",",J29," , ",K29,", '",L29,"', '",M29,"' ,'",N29,"' , '",O29,"' , '",P29,"' , '",Q29,"' , '",R29,"','",S29,"','",T29,"','",U29,"','",V29,"','",W29,"','",X29,"','",Y29,"','",Z29,"'")</f>
        <v>EXECUTE [dbo].[PG_CI_ARCUSFIL_SQL] 0, 0, 0, 28, 'UNIVERSAL TRIM INC', 'UNIVERSAL TRIM INC' , 'UNIV01' , 200,221 , 54, 'MADISON HEIGHTS', 'PO BOX 71541' ,'' , '48071-0541' , '2000-01-25' , '28' , '1','','2','MCUEX','','USD','','N/A','N'</v>
      </c>
      <c r="AC29" s="11"/>
    </row>
    <row r="30" spans="1:29" s="10" customFormat="1" x14ac:dyDescent="0.25">
      <c r="A30" s="19"/>
      <c r="B30" s="20">
        <v>0</v>
      </c>
      <c r="C30" s="20">
        <v>0</v>
      </c>
      <c r="D30" s="20">
        <v>0</v>
      </c>
      <c r="E30" s="27">
        <v>29</v>
      </c>
      <c r="F30" s="21" t="s">
        <v>514</v>
      </c>
      <c r="G30" s="21" t="s">
        <v>514</v>
      </c>
      <c r="H30" s="25" t="s">
        <v>590</v>
      </c>
      <c r="I30" s="31">
        <v>200</v>
      </c>
      <c r="J30" s="31">
        <v>213</v>
      </c>
      <c r="K30" s="31">
        <v>83</v>
      </c>
      <c r="L30" s="32" t="s">
        <v>649</v>
      </c>
      <c r="M30" s="32" t="s">
        <v>693</v>
      </c>
      <c r="N30" s="32" t="s">
        <v>748</v>
      </c>
      <c r="O30" s="25" t="s">
        <v>780</v>
      </c>
      <c r="P30" s="37" t="s">
        <v>821</v>
      </c>
      <c r="Q30" s="36">
        <f>E30</f>
        <v>29</v>
      </c>
      <c r="R30" s="36">
        <v>1</v>
      </c>
      <c r="S30" s="25"/>
      <c r="T30" s="25">
        <v>2</v>
      </c>
      <c r="U30" s="25" t="s">
        <v>120</v>
      </c>
      <c r="V30" s="25"/>
      <c r="W30" s="25" t="s">
        <v>126</v>
      </c>
      <c r="X30" s="25"/>
      <c r="Y30" s="25" t="s">
        <v>1006</v>
      </c>
      <c r="Z30" s="25" t="s">
        <v>124</v>
      </c>
      <c r="AB30" s="23" t="str">
        <f>CONCATENATE(CI_!$AE$1,E30,", '",F30,"', '",G30,"' , '",H30,"' , ",I30,",",J30," , ",K30,", '",L30,"', '",M30,"' ,'",N30,"' , '",O30,"' , '",P30,"' , '",Q30,"' , '",R30,"','",S30,"','",T30,"','",U30,"','",V30,"','",W30,"','",X30,"','",Y30,"','",Z30,"'")</f>
        <v>EXECUTE [dbo].[PG_CI_ARCUSFIL_SQL] 0, 0, 0, 29, 'BAILEY MANAGEMENT CONSULTING SERVICES', 'BAILEY MANAGEMENT CONSULTING SERVICES' , 'BMCS01' , 200,213 , 83, 'ONTARIO', '163 HERITAGE ROAD' ,'KINGSVILLE' , 'N9Y 2C7' , '2001-10-08' , '29' , '1','','2','MCUEX','','USD','','N/A','N'</v>
      </c>
      <c r="AC30" s="11"/>
    </row>
    <row r="31" spans="1:29" s="10" customFormat="1" x14ac:dyDescent="0.25">
      <c r="A31" s="19"/>
      <c r="B31" s="20">
        <v>0</v>
      </c>
      <c r="C31" s="20">
        <v>0</v>
      </c>
      <c r="D31" s="20">
        <v>0</v>
      </c>
      <c r="E31" s="27">
        <v>30</v>
      </c>
      <c r="F31" s="21" t="s">
        <v>539</v>
      </c>
      <c r="G31" s="21" t="s">
        <v>539</v>
      </c>
      <c r="H31" s="25" t="s">
        <v>615</v>
      </c>
      <c r="I31" s="31">
        <v>200</v>
      </c>
      <c r="J31" s="31">
        <v>260</v>
      </c>
      <c r="K31" s="31">
        <v>26</v>
      </c>
      <c r="L31" s="32" t="s">
        <v>667</v>
      </c>
      <c r="M31" s="32" t="s">
        <v>717</v>
      </c>
      <c r="N31" s="32" t="s">
        <v>762</v>
      </c>
      <c r="O31" s="25" t="s">
        <v>800</v>
      </c>
      <c r="P31" s="37" t="s">
        <v>845</v>
      </c>
      <c r="Q31" s="36">
        <f>E31</f>
        <v>30</v>
      </c>
      <c r="R31" s="36">
        <v>1</v>
      </c>
      <c r="S31" s="25"/>
      <c r="T31" s="25">
        <v>2</v>
      </c>
      <c r="U31" s="25" t="s">
        <v>120</v>
      </c>
      <c r="V31" s="25"/>
      <c r="W31" s="25" t="s">
        <v>126</v>
      </c>
      <c r="X31" s="25"/>
      <c r="Y31" s="25" t="s">
        <v>1014</v>
      </c>
      <c r="Z31" s="25" t="s">
        <v>124</v>
      </c>
      <c r="AB31" s="23" t="str">
        <f>CONCATENATE(CI_!$AE$1,E31,", '",F31,"', '",G31,"' , '",H31,"' , ",I31,",",J31," , ",K31,", '",L31,"', '",M31,"' ,'",N31,"' , '",O31,"' , '",P31,"' , '",Q31,"' , '",R31,"','",S31,"','",T31,"','",U31,"','",V31,"','",W31,"','",X31,"','",Y31,"','",Z31,"'")</f>
        <v>EXECUTE [dbo].[PG_CI_ARCUSFIL_SQL] 0, 0, 0, 30, 'LEAR HERMOSILLO', 'LEAR HERMOSILLO' , 'LEAR07' , 200,260 , 26, 'NOGALES', 'LEAR CORPORATION MEXICO SA DE CV' ,'PO BOX 6323' , '85621' , '2001-10-18' , '30' , '1','','2','MCUEX','','USD','','ABN','N'</v>
      </c>
      <c r="AC31" s="11"/>
    </row>
    <row r="32" spans="1:29" s="10" customFormat="1" x14ac:dyDescent="0.25">
      <c r="A32" s="19"/>
      <c r="B32" s="20">
        <v>0</v>
      </c>
      <c r="C32" s="20">
        <v>0</v>
      </c>
      <c r="D32" s="20">
        <v>0</v>
      </c>
      <c r="E32" s="27">
        <v>31</v>
      </c>
      <c r="F32" s="21" t="s">
        <v>564</v>
      </c>
      <c r="G32" s="21" t="s">
        <v>564</v>
      </c>
      <c r="H32" s="25" t="s">
        <v>640</v>
      </c>
      <c r="I32" s="31">
        <v>200</v>
      </c>
      <c r="J32" s="31">
        <v>221</v>
      </c>
      <c r="K32" s="31">
        <v>54</v>
      </c>
      <c r="L32" s="32" t="s">
        <v>684</v>
      </c>
      <c r="M32" s="32" t="s">
        <v>739</v>
      </c>
      <c r="N32" s="32"/>
      <c r="O32" s="25" t="s">
        <v>465</v>
      </c>
      <c r="P32" s="37" t="s">
        <v>865</v>
      </c>
      <c r="Q32" s="36">
        <f>E32</f>
        <v>31</v>
      </c>
      <c r="R32" s="36">
        <v>1</v>
      </c>
      <c r="S32" s="25"/>
      <c r="T32" s="25">
        <v>2</v>
      </c>
      <c r="U32" s="25" t="s">
        <v>250</v>
      </c>
      <c r="V32" s="25"/>
      <c r="W32" s="25" t="s">
        <v>126</v>
      </c>
      <c r="X32" s="25"/>
      <c r="Y32" s="25" t="s">
        <v>1006</v>
      </c>
      <c r="Z32" s="25" t="s">
        <v>124</v>
      </c>
      <c r="AB32" s="23" t="str">
        <f>CONCATENATE(CI_!$AE$1,E32,", '",F32,"', '",G32,"' , '",H32,"' , ",I32,",",J32," , ",K32,", '",L32,"', '",M32,"' ,'",N32,"' , '",O32,"' , '",P32,"' , '",Q32,"' , '",R32,"','",S32,"','",T32,"','",U32,"','",V32,"','",W32,"','",X32,"','",Y32,"','",Z32,"'")</f>
        <v>EXECUTE [dbo].[PG_CI_ARCUSFIL_SQL] 0, 0, 0, 31, 'VISUAL SERVICES', 'VISUAL SERVICES' , 'VISU01' , 200,221 , 54, 'BLOOMFIELD HILLS', '41000 WOODWARD AVENUE' ,'' , '48304-2263' , '2001-11-18' , '31' , '1','','2','MFUEX','','USD','','N/A','N'</v>
      </c>
      <c r="AC32" s="11"/>
    </row>
    <row r="33" spans="1:29" s="10" customFormat="1" x14ac:dyDescent="0.25">
      <c r="A33" s="19"/>
      <c r="B33" s="20">
        <v>0</v>
      </c>
      <c r="C33" s="20">
        <v>0</v>
      </c>
      <c r="D33" s="20">
        <v>0</v>
      </c>
      <c r="E33" s="27">
        <v>32</v>
      </c>
      <c r="F33" s="21" t="s">
        <v>531</v>
      </c>
      <c r="G33" s="21" t="s">
        <v>576</v>
      </c>
      <c r="H33" s="25" t="s">
        <v>607</v>
      </c>
      <c r="I33" s="31">
        <v>200</v>
      </c>
      <c r="J33" s="31">
        <v>260</v>
      </c>
      <c r="K33" s="31">
        <v>8</v>
      </c>
      <c r="L33" s="32" t="s">
        <v>13</v>
      </c>
      <c r="M33" s="32" t="s">
        <v>709</v>
      </c>
      <c r="N33" s="32" t="s">
        <v>758</v>
      </c>
      <c r="O33" s="25" t="s">
        <v>794</v>
      </c>
      <c r="P33" s="37" t="s">
        <v>837</v>
      </c>
      <c r="Q33" s="36">
        <f>E33</f>
        <v>32</v>
      </c>
      <c r="R33" s="36">
        <v>1</v>
      </c>
      <c r="S33" s="25"/>
      <c r="T33" s="25">
        <v>2</v>
      </c>
      <c r="U33" s="25" t="s">
        <v>250</v>
      </c>
      <c r="V33" s="25"/>
      <c r="W33" s="25" t="s">
        <v>126</v>
      </c>
      <c r="X33" s="25" t="s">
        <v>1011</v>
      </c>
      <c r="Y33" s="25" t="s">
        <v>1006</v>
      </c>
      <c r="Z33" s="25" t="s">
        <v>124</v>
      </c>
      <c r="AB33" s="23" t="str">
        <f>CONCATENATE(CI_!$AE$1,E33,", '",F33,"', '",G33,"' , '",H33,"' , ",I33,",",J33," , ",K33,", '",L33,"', '",M33,"' ,'",N33,"' , '",O33,"' , '",P33,"' , '",Q33,"' , '",R33,"','",S33,"','",T33,"','",U33,"','",V33,"','",W33,"','",X33,"','",Y33,"','",Z33,"'")</f>
        <v>EXECUTE [dbo].[PG_CI_ARCUSFIL_SQL] 0, 0, 0, 32, 'JCIM MEXICO PROPERTIES,S.de R.L.', 'JOHNSON CONTROLS MEXICO' , 'JOHN01' , 200,260 , 8, 'JUAREZ', 'EPSILON 6525' ,'PARQUE INDUSTRIAL OMEGA' , '32320' , '2002-01-22' , '32' , '1','','2','MFUEX','','USD','RICARDO.PEREZ@JCI.COM','N/A','N'</v>
      </c>
      <c r="AC33" s="11"/>
    </row>
    <row r="34" spans="1:29" s="10" customFormat="1" x14ac:dyDescent="0.25">
      <c r="A34" s="19"/>
      <c r="B34" s="20">
        <v>0</v>
      </c>
      <c r="C34" s="20">
        <v>0</v>
      </c>
      <c r="D34" s="20">
        <v>0</v>
      </c>
      <c r="E34" s="27">
        <v>33</v>
      </c>
      <c r="F34" s="21" t="s">
        <v>515</v>
      </c>
      <c r="G34" s="21" t="s">
        <v>515</v>
      </c>
      <c r="H34" s="25" t="s">
        <v>591</v>
      </c>
      <c r="I34" s="31">
        <v>0</v>
      </c>
      <c r="J34" s="31">
        <v>0</v>
      </c>
      <c r="K34" s="31">
        <v>0</v>
      </c>
      <c r="L34" s="32"/>
      <c r="M34" s="32"/>
      <c r="N34" s="32"/>
      <c r="O34" s="25">
        <v>0</v>
      </c>
      <c r="P34" s="37" t="s">
        <v>822</v>
      </c>
      <c r="Q34" s="36">
        <f>E34</f>
        <v>33</v>
      </c>
      <c r="R34" s="36">
        <v>1</v>
      </c>
      <c r="S34" s="25"/>
      <c r="T34" s="25">
        <v>2</v>
      </c>
      <c r="U34" s="25" t="s">
        <v>143</v>
      </c>
      <c r="V34" s="25"/>
      <c r="W34" s="25" t="s">
        <v>126</v>
      </c>
      <c r="X34" s="25"/>
      <c r="Y34" s="25"/>
      <c r="Z34" s="25" t="s">
        <v>124</v>
      </c>
      <c r="AB34" s="23" t="str">
        <f>CONCATENATE(CI_!$AE$1,E34,", '",F34,"', '",G34,"' , '",H34,"' , ",I34,",",J34," , ",K34,", '",L34,"', '",M34,"' ,'",N34,"' , '",O34,"' , '",P34,"' , '",Q34,"' , '",R34,"','",S34,"','",T34,"','",U34,"','",V34,"','",W34,"','",X34,"','",Y34,"','",Z34,"'")</f>
        <v>EXECUTE [dbo].[PG_CI_ARCUSFIL_SQL] 0, 0, 0, 33, 'CASH SALES MEXICO', 'CASH SALES MEXICO' , 'CASH01' , 0,0 , 0, '', '' ,'' , '0' , '2002-01-28' , '33' , '1','','2','MISC ','','USD','','','N'</v>
      </c>
      <c r="AC34" s="11"/>
    </row>
    <row r="35" spans="1:29" s="10" customFormat="1" x14ac:dyDescent="0.25">
      <c r="A35" s="19"/>
      <c r="B35" s="20">
        <v>0</v>
      </c>
      <c r="C35" s="20">
        <v>0</v>
      </c>
      <c r="D35" s="20">
        <v>0</v>
      </c>
      <c r="E35" s="27">
        <v>34</v>
      </c>
      <c r="F35" s="21" t="s">
        <v>529</v>
      </c>
      <c r="G35" s="21" t="s">
        <v>575</v>
      </c>
      <c r="H35" s="25" t="s">
        <v>605</v>
      </c>
      <c r="I35" s="31">
        <v>200</v>
      </c>
      <c r="J35" s="31">
        <v>221</v>
      </c>
      <c r="K35" s="31">
        <v>75</v>
      </c>
      <c r="L35" s="32" t="s">
        <v>661</v>
      </c>
      <c r="M35" s="32" t="s">
        <v>707</v>
      </c>
      <c r="N35" s="32"/>
      <c r="O35" s="25" t="s">
        <v>792</v>
      </c>
      <c r="P35" s="37" t="s">
        <v>835</v>
      </c>
      <c r="Q35" s="36">
        <f>E35</f>
        <v>34</v>
      </c>
      <c r="R35" s="36">
        <v>1</v>
      </c>
      <c r="S35" s="25"/>
      <c r="T35" s="25">
        <v>2</v>
      </c>
      <c r="U35" s="25" t="s">
        <v>250</v>
      </c>
      <c r="V35" s="25"/>
      <c r="W35" s="25" t="s">
        <v>126</v>
      </c>
      <c r="X35" s="25" t="s">
        <v>1010</v>
      </c>
      <c r="Y35" s="25" t="s">
        <v>1006</v>
      </c>
      <c r="Z35" s="25" t="s">
        <v>124</v>
      </c>
      <c r="AB35" s="23" t="str">
        <f>CONCATENATE(CI_!$AE$1,E35,", '",F35,"', '",G35,"' , '",H35,"' , ",I35,",",J35," , ",K35,", '",L35,"', '",M35,"' ,'",N35,"' , '",O35,"' , '",P35,"' , '",Q35,"' , '",R35,"','",S35,"','",T35,"','",U35,"','",V35,"','",W35,"','",X35,"','",Y35,"','",Z35,"'")</f>
        <v>EXECUTE [dbo].[PG_CI_ARCUSFIL_SQL] 0, 0, 0, 34, 'IRVIN AUTOMOTIVE', 'JAROPAMEX ACUNA, PLANT1' , 'IRVI03' , 200,221 , 75, 'DEL RIO', '2A FAWCETT DRIVE' ,'' , '78840' , '2003-11-06' , '34' , '1','','2','MFUEX','','USD','FOB SHIP POINT','N/A','N'</v>
      </c>
      <c r="AC35" s="11"/>
    </row>
    <row r="36" spans="1:29" s="10" customFormat="1" x14ac:dyDescent="0.25">
      <c r="A36" s="19"/>
      <c r="B36" s="20">
        <v>0</v>
      </c>
      <c r="C36" s="20">
        <v>0</v>
      </c>
      <c r="D36" s="20">
        <v>0</v>
      </c>
      <c r="E36" s="27">
        <v>35</v>
      </c>
      <c r="F36" s="21" t="s">
        <v>561</v>
      </c>
      <c r="G36" s="21" t="s">
        <v>561</v>
      </c>
      <c r="H36" s="25" t="s">
        <v>637</v>
      </c>
      <c r="I36" s="31">
        <v>200</v>
      </c>
      <c r="J36" s="31">
        <v>221</v>
      </c>
      <c r="K36" s="31">
        <v>75</v>
      </c>
      <c r="L36" s="32"/>
      <c r="M36" s="32" t="s">
        <v>736</v>
      </c>
      <c r="N36" s="32" t="s">
        <v>671</v>
      </c>
      <c r="O36" s="25" t="s">
        <v>804</v>
      </c>
      <c r="P36" s="37" t="s">
        <v>862</v>
      </c>
      <c r="Q36" s="36">
        <f>E36</f>
        <v>35</v>
      </c>
      <c r="R36" s="36">
        <v>1</v>
      </c>
      <c r="S36" s="25"/>
      <c r="T36" s="25">
        <v>2</v>
      </c>
      <c r="U36" s="25" t="s">
        <v>120</v>
      </c>
      <c r="V36" s="25"/>
      <c r="W36" s="25" t="s">
        <v>126</v>
      </c>
      <c r="X36" s="25"/>
      <c r="Y36" s="25" t="s">
        <v>1006</v>
      </c>
      <c r="Z36" s="25" t="s">
        <v>124</v>
      </c>
      <c r="AB36" s="23" t="str">
        <f>CONCATENATE(CI_!$AE$1,E36,", '",F36,"', '",G36,"' , '",H36,"' , ",I36,",",J36," , ",K36,", '",L36,"', '",M36,"' ,'",N36,"' , '",O36,"' , '",P36,"' , '",Q36,"' , '",R36,"','",S36,"','",T36,"','",U36,"','",V36,"','",W36,"','",X36,"','",Y36,"','",Z36,"'")</f>
        <v>EXECUTE [dbo].[PG_CI_ARCUSFIL_SQL] 0, 0, 0, 35, 'TENNMEX INC', 'TENNMEX INC' , 'TENN01' , 200,221 , 75, '', '2262 SAN JUAN DRIVE' ,'EAGLE PASS' , '78852' , '2005-08-15' , '35' , '1','','2','MCUEX','','USD','','N/A','N'</v>
      </c>
      <c r="AC36" s="11"/>
    </row>
    <row r="37" spans="1:29" s="10" customFormat="1" x14ac:dyDescent="0.25">
      <c r="A37" s="19"/>
      <c r="B37" s="20">
        <v>0</v>
      </c>
      <c r="C37" s="20">
        <v>0</v>
      </c>
      <c r="D37" s="20">
        <v>0</v>
      </c>
      <c r="E37" s="27">
        <v>36</v>
      </c>
      <c r="F37" s="21" t="s">
        <v>565</v>
      </c>
      <c r="G37" s="21" t="s">
        <v>565</v>
      </c>
      <c r="H37" s="25" t="s">
        <v>641</v>
      </c>
      <c r="I37" s="31">
        <v>200</v>
      </c>
      <c r="J37" s="31">
        <v>260</v>
      </c>
      <c r="K37" s="31">
        <v>5</v>
      </c>
      <c r="L37" s="32" t="s">
        <v>685</v>
      </c>
      <c r="M37" s="32" t="s">
        <v>740</v>
      </c>
      <c r="N37" s="32" t="s">
        <v>774</v>
      </c>
      <c r="O37" s="25" t="s">
        <v>815</v>
      </c>
      <c r="P37" s="37" t="s">
        <v>866</v>
      </c>
      <c r="Q37" s="36">
        <f>E37</f>
        <v>36</v>
      </c>
      <c r="R37" s="36">
        <v>1</v>
      </c>
      <c r="S37" s="25"/>
      <c r="T37" s="25">
        <v>2</v>
      </c>
      <c r="U37" s="25" t="s">
        <v>250</v>
      </c>
      <c r="V37" s="25"/>
      <c r="W37" s="25" t="s">
        <v>126</v>
      </c>
      <c r="X37" s="25"/>
      <c r="Y37" s="25" t="s">
        <v>1006</v>
      </c>
      <c r="Z37" s="25" t="s">
        <v>124</v>
      </c>
      <c r="AB37" s="23" t="str">
        <f>CONCATENATE(CI_!$AE$1,E37,", '",F37,"', '",G37,"' , '",H37,"' , ",I37,",",J37," , ",K37,", '",L37,"', '",M37,"' ,'",N37,"' , '",O37,"' , '",P37,"' , '",Q37,"' , '",R37,"','",S37,"','",T37,"','",U37,"','",V37,"','",W37,"','",X37,"','",Y37,"','",Z37,"'")</f>
        <v>EXECUTE [dbo].[PG_CI_ARCUSFIL_SQL] 0, 0, 0, 36, 'WOODBRIDGE FOAM CORPORATION', 'WOODBRIDGE FOAM CORPORATION' , 'WOOD01' , 200,260 , 5, 'RAMOS ARIZPE', 'SALTILLO MONTERREY KM1150' ,'PARQUE INDUSTRIAL RAMOS ARIZPE' , '25900' , '2006-01-30' , '36' , '1','','2','MFUEX','','USD','','N/A','N'</v>
      </c>
      <c r="AC37" s="11"/>
    </row>
    <row r="38" spans="1:29" s="10" customFormat="1" x14ac:dyDescent="0.25">
      <c r="A38" s="19"/>
      <c r="B38" s="20">
        <v>0</v>
      </c>
      <c r="C38" s="20">
        <v>0</v>
      </c>
      <c r="D38" s="20">
        <v>0</v>
      </c>
      <c r="E38" s="27">
        <v>37</v>
      </c>
      <c r="F38" s="21" t="s">
        <v>533</v>
      </c>
      <c r="G38" s="21" t="s">
        <v>533</v>
      </c>
      <c r="H38" s="25" t="s">
        <v>609</v>
      </c>
      <c r="I38" s="31">
        <v>200</v>
      </c>
      <c r="J38" s="31">
        <v>221</v>
      </c>
      <c r="K38" s="31">
        <v>75</v>
      </c>
      <c r="L38" s="32" t="s">
        <v>664</v>
      </c>
      <c r="M38" s="32" t="s">
        <v>711</v>
      </c>
      <c r="N38" s="32" t="s">
        <v>759</v>
      </c>
      <c r="O38" s="25" t="s">
        <v>796</v>
      </c>
      <c r="P38" s="37" t="s">
        <v>839</v>
      </c>
      <c r="Q38" s="36">
        <f>E38</f>
        <v>37</v>
      </c>
      <c r="R38" s="36">
        <v>1</v>
      </c>
      <c r="S38" s="25"/>
      <c r="T38" s="25">
        <v>2</v>
      </c>
      <c r="U38" s="25" t="s">
        <v>120</v>
      </c>
      <c r="V38" s="25"/>
      <c r="W38" s="25" t="s">
        <v>126</v>
      </c>
      <c r="X38" s="25"/>
      <c r="Y38" s="25" t="s">
        <v>1006</v>
      </c>
      <c r="Z38" s="25" t="s">
        <v>124</v>
      </c>
      <c r="AB38" s="23" t="str">
        <f>CONCATENATE(CI_!$AE$1,E38,", '",F38,"', '",G38,"' , '",H38,"' , ",I38,",",J38," , ",K38,", '",L38,"', '",M38,"' ,'",N38,"' , '",O38,"' , '",P38,"' , '",Q38,"' , '",R38,"','",S38,"','",T38,"','",U38,"','",V38,"','",W38,"','",X38,"','",Y38,"','",Z38,"'")</f>
        <v>EXECUTE [dbo].[PG_CI_ARCUSFIL_SQL] 0, 0, 0, 37, 'JOHNSON CONTROLS-EDIASA 3', 'JOHNSON CONTROLS-EDIASA 3' , 'JOHN03' , 200,221 , 75, 'EL PASO', 'JOHNSON CONTROLS INC' ,'SSC ACCOUNTS PAYABLE' , '981700' , '2006-12-20' , '37' , '1','','2','MCUEX','','USD','','N/A','N'</v>
      </c>
      <c r="AC38" s="11"/>
    </row>
    <row r="39" spans="1:29" s="10" customFormat="1" x14ac:dyDescent="0.25">
      <c r="A39" s="19"/>
      <c r="B39" s="20">
        <v>0</v>
      </c>
      <c r="C39" s="20">
        <v>0</v>
      </c>
      <c r="D39" s="20">
        <v>0</v>
      </c>
      <c r="E39" s="27">
        <v>38</v>
      </c>
      <c r="F39" s="21" t="s">
        <v>534</v>
      </c>
      <c r="G39" s="21" t="s">
        <v>534</v>
      </c>
      <c r="H39" s="25" t="s">
        <v>610</v>
      </c>
      <c r="I39" s="31">
        <v>200</v>
      </c>
      <c r="J39" s="31">
        <v>221</v>
      </c>
      <c r="K39" s="31">
        <v>75</v>
      </c>
      <c r="L39" s="32" t="s">
        <v>664</v>
      </c>
      <c r="M39" s="32" t="s">
        <v>712</v>
      </c>
      <c r="N39" s="32" t="s">
        <v>760</v>
      </c>
      <c r="O39" s="25" t="s">
        <v>797</v>
      </c>
      <c r="P39" s="37" t="s">
        <v>840</v>
      </c>
      <c r="Q39" s="36">
        <f>E39</f>
        <v>38</v>
      </c>
      <c r="R39" s="36">
        <v>1</v>
      </c>
      <c r="S39" s="25"/>
      <c r="T39" s="25">
        <v>11</v>
      </c>
      <c r="U39" s="25" t="s">
        <v>120</v>
      </c>
      <c r="V39" s="25"/>
      <c r="W39" s="25" t="s">
        <v>126</v>
      </c>
      <c r="X39" s="25"/>
      <c r="Y39" s="25"/>
      <c r="Z39" s="25" t="s">
        <v>124</v>
      </c>
      <c r="AB39" s="23" t="str">
        <f>CONCATENATE(CI_!$AE$1,E39,", '",F39,"', '",G39,"' , '",H39,"' , ",I39,",",J39," , ",K39,", '",L39,"', '",M39,"' ,'",N39,"' , '",O39,"' , '",P39,"' , '",Q39,"' , '",R39,"','",S39,"','",T39,"','",U39,"','",V39,"','",W39,"','",X39,"','",Y39,"','",Z39,"'")</f>
        <v>EXECUTE [dbo].[PG_CI_ARCUSFIL_SQL] 0, 0, 0, 38, 'JOHNSON CONTROL SHANGAI', 'JOHNSON CONTROL SHANGAI' , 'JOHN04' , 200,221 , 75, 'EL PASO', 'SSC ACCOUNTS PAYABLE -18438' ,'PO BOX 981700' , '79998' , '2007-01-18' , '38' , '1','','11','MCUEX','','USD','','','N'</v>
      </c>
      <c r="AC39" s="11"/>
    </row>
    <row r="40" spans="1:29" s="10" customFormat="1" x14ac:dyDescent="0.25">
      <c r="A40" s="19"/>
      <c r="B40" s="20">
        <v>0</v>
      </c>
      <c r="C40" s="20">
        <v>0</v>
      </c>
      <c r="D40" s="20">
        <v>0</v>
      </c>
      <c r="E40" s="27">
        <v>39</v>
      </c>
      <c r="F40" s="21" t="s">
        <v>536</v>
      </c>
      <c r="G40" s="21" t="s">
        <v>536</v>
      </c>
      <c r="H40" s="25" t="s">
        <v>612</v>
      </c>
      <c r="I40" s="31">
        <v>200</v>
      </c>
      <c r="J40" s="31">
        <v>221</v>
      </c>
      <c r="K40" s="31">
        <v>75</v>
      </c>
      <c r="L40" s="32" t="s">
        <v>665</v>
      </c>
      <c r="M40" s="32" t="s">
        <v>714</v>
      </c>
      <c r="N40" s="32" t="s">
        <v>761</v>
      </c>
      <c r="O40" s="25" t="s">
        <v>798</v>
      </c>
      <c r="P40" s="37" t="s">
        <v>842</v>
      </c>
      <c r="Q40" s="36">
        <f>E40</f>
        <v>39</v>
      </c>
      <c r="R40" s="36">
        <v>1</v>
      </c>
      <c r="S40" s="25"/>
      <c r="T40" s="25">
        <v>2</v>
      </c>
      <c r="U40" s="25" t="s">
        <v>120</v>
      </c>
      <c r="V40" s="25"/>
      <c r="W40" s="25" t="s">
        <v>126</v>
      </c>
      <c r="X40" s="25" t="s">
        <v>1012</v>
      </c>
      <c r="Y40" s="25" t="s">
        <v>1006</v>
      </c>
      <c r="Z40" s="25" t="s">
        <v>124</v>
      </c>
      <c r="AB40" s="23" t="str">
        <f>CONCATENATE(CI_!$AE$1,E40,", '",F40,"', '",G40,"' , '",H40,"' , ",I40,",",J40," , ",K40,", '",L40,"', '",M40,"' ,'",N40,"' , '",O40,"' , '",P40,"' , '",Q40,"' , '",R40,"','",S40,"','",T40,"','",U40,"','",V40,"','",W40,"','",X40,"','",Y40,"','",Z40,"'")</f>
        <v>EXECUTE [dbo].[PG_CI_ARCUSFIL_SQL] 0, 0, 0, 39, 'KONGSBERG AUTOMOTIVE', 'KONGSBERG AUTOMOTIVE' , 'KONG01' , 200,221 , 75, 'PHARR', 'LAREDO FREIGHT - KONGSBERG AUTOMOTIVE' ,'9208 SOUTH CAGE BLVD' , '78577' , '2008-01-29' , '39' , '1','','2','MCUEX','','USD','EXW','N/A','N'</v>
      </c>
      <c r="AC40" s="11"/>
    </row>
    <row r="41" spans="1:29" s="10" customFormat="1" x14ac:dyDescent="0.25">
      <c r="A41" s="19"/>
      <c r="B41" s="20">
        <v>0</v>
      </c>
      <c r="C41" s="20">
        <v>0</v>
      </c>
      <c r="D41" s="20">
        <v>0</v>
      </c>
      <c r="E41" s="27">
        <v>40</v>
      </c>
      <c r="F41" s="21" t="s">
        <v>526</v>
      </c>
      <c r="G41" s="21" t="s">
        <v>526</v>
      </c>
      <c r="H41" s="25" t="s">
        <v>602</v>
      </c>
      <c r="I41" s="31">
        <v>200</v>
      </c>
      <c r="J41" s="31">
        <v>260</v>
      </c>
      <c r="K41" s="31">
        <v>29</v>
      </c>
      <c r="L41" s="32" t="s">
        <v>744</v>
      </c>
      <c r="M41" s="32" t="s">
        <v>704</v>
      </c>
      <c r="N41" s="32" t="s">
        <v>756</v>
      </c>
      <c r="O41" s="25" t="s">
        <v>790</v>
      </c>
      <c r="P41" s="37" t="s">
        <v>832</v>
      </c>
      <c r="Q41" s="36">
        <f>E41</f>
        <v>40</v>
      </c>
      <c r="R41" s="36">
        <v>1</v>
      </c>
      <c r="S41" s="25"/>
      <c r="T41" s="25">
        <v>2</v>
      </c>
      <c r="U41" s="25" t="s">
        <v>120</v>
      </c>
      <c r="V41" s="25"/>
      <c r="W41" s="25" t="s">
        <v>126</v>
      </c>
      <c r="X41" s="25" t="s">
        <v>1009</v>
      </c>
      <c r="Y41" s="25" t="s">
        <v>1006</v>
      </c>
      <c r="Z41" s="25" t="s">
        <v>124</v>
      </c>
      <c r="AB41" s="23" t="str">
        <f>CONCATENATE(CI_!$AE$1,E41,", '",F41,"', '",G41,"' , '",H41,"' , ",I41,",",J41," , ",K41,", '",L41,"', '",M41,"' ,'",N41,"' , '",O41,"' , '",P41,"' , '",Q41,"' , '",R41,"','",S41,"','",T41,"','",U41,"','",V41,"','",W41,"','",X41,"','",Y41,"','",Z41,"'")</f>
        <v>EXECUTE [dbo].[PG_CI_ARCUSFIL_SQL] 0, 0, 0, 40, 'GRAMMER AUTOMOTIVE PUEBLA', 'GRAMMER AUTOMOTIVE PUEBLA' , 'GRAM01' , 200,260 , 29, 'TETLA', 'BOULEVARD TETLA NO 107' ,'Cd. Industrial Xicohtencatl' , '90434' , '2008-02-06' , '40' , '1','','2','MCUEX','','USD','FOB Juarez','N/A','N'</v>
      </c>
      <c r="AC41" s="11"/>
    </row>
    <row r="42" spans="1:29" s="10" customFormat="1" x14ac:dyDescent="0.25">
      <c r="A42" s="19"/>
      <c r="B42" s="20">
        <v>0</v>
      </c>
      <c r="C42" s="20">
        <v>0</v>
      </c>
      <c r="D42" s="20">
        <v>0</v>
      </c>
      <c r="E42" s="27">
        <v>41</v>
      </c>
      <c r="F42" s="21" t="s">
        <v>549</v>
      </c>
      <c r="G42" s="21" t="s">
        <v>549</v>
      </c>
      <c r="H42" s="25" t="s">
        <v>625</v>
      </c>
      <c r="I42" s="31">
        <v>200</v>
      </c>
      <c r="J42" s="31">
        <v>221</v>
      </c>
      <c r="K42" s="31">
        <v>54</v>
      </c>
      <c r="L42" s="32" t="s">
        <v>689</v>
      </c>
      <c r="M42" s="32" t="s">
        <v>725</v>
      </c>
      <c r="N42" s="32"/>
      <c r="O42" s="25" t="s">
        <v>805</v>
      </c>
      <c r="P42" s="37" t="s">
        <v>854</v>
      </c>
      <c r="Q42" s="36">
        <f>E42</f>
        <v>41</v>
      </c>
      <c r="R42" s="36">
        <v>1</v>
      </c>
      <c r="S42" s="25"/>
      <c r="T42" s="25">
        <v>2</v>
      </c>
      <c r="U42" s="25" t="s">
        <v>120</v>
      </c>
      <c r="V42" s="25"/>
      <c r="W42" s="25" t="s">
        <v>126</v>
      </c>
      <c r="X42" s="25"/>
      <c r="Y42" s="25"/>
      <c r="Z42" s="25" t="s">
        <v>124</v>
      </c>
      <c r="AB42" s="23" t="str">
        <f>CONCATENATE(CI_!$AE$1,E42,", '",F42,"', '",G42,"' , '",H42,"' , ",I42,",",J42," , ",K42,", '",L42,"', '",M42,"' ,'",N42,"' , '",O42,"' , '",P42,"' , '",Q42,"' , '",R42,"','",S42,"','",T42,"','",U42,"','",V42,"','",W42,"','",X42,"','",Y42,"','",Z42,"'")</f>
        <v>EXECUTE [dbo].[PG_CI_ARCUSFIL_SQL] 0, 0, 0, 41, 'MAY &amp; SCOFIELD', 'MAY &amp; SCOFIELD' , 'MAYS01' , 200,221 , 54, 'FOWLERVILLE', '445 E. VAN RIPER' ,'' , '48836' , '2008-03-05' , '41' , '1','','2','MCUEX','','USD','','','N'</v>
      </c>
      <c r="AC42" s="11"/>
    </row>
    <row r="43" spans="1:29" s="10" customFormat="1" x14ac:dyDescent="0.25">
      <c r="A43" s="19"/>
      <c r="B43" s="20">
        <v>0</v>
      </c>
      <c r="C43" s="20">
        <v>0</v>
      </c>
      <c r="D43" s="20">
        <v>0</v>
      </c>
      <c r="E43" s="27">
        <v>42</v>
      </c>
      <c r="F43" s="21" t="s">
        <v>516</v>
      </c>
      <c r="G43" s="21" t="s">
        <v>516</v>
      </c>
      <c r="H43" s="25" t="s">
        <v>592</v>
      </c>
      <c r="I43" s="31">
        <v>200</v>
      </c>
      <c r="J43" s="31">
        <v>260</v>
      </c>
      <c r="K43" s="31">
        <v>8</v>
      </c>
      <c r="L43" s="32" t="s">
        <v>13</v>
      </c>
      <c r="M43" s="32" t="s">
        <v>694</v>
      </c>
      <c r="N43" s="32" t="s">
        <v>749</v>
      </c>
      <c r="O43" s="25">
        <v>32676</v>
      </c>
      <c r="P43" s="37" t="s">
        <v>823</v>
      </c>
      <c r="Q43" s="36">
        <f>E43</f>
        <v>42</v>
      </c>
      <c r="R43" s="36">
        <v>1</v>
      </c>
      <c r="S43" s="25"/>
      <c r="T43" s="25">
        <v>2</v>
      </c>
      <c r="U43" s="25" t="s">
        <v>143</v>
      </c>
      <c r="V43" s="25"/>
      <c r="W43" s="25" t="s">
        <v>126</v>
      </c>
      <c r="X43" s="25"/>
      <c r="Y43" s="25"/>
      <c r="Z43" s="25" t="s">
        <v>124</v>
      </c>
      <c r="AB43" s="23" t="str">
        <f>CONCATENATE(CI_!$AE$1,E43,", '",F43,"', '",G43,"' , '",H43,"' , ",I43,",",J43," , ",K43,", '",L43,"', '",M43,"' ,'",N43,"' , '",O43,"' , '",P43,"' , '",Q43,"' , '",R43,"','",S43,"','",T43,"','",U43,"','",V43,"','",W43,"','",X43,"','",Y43,"','",Z43,"'")</f>
        <v>EXECUTE [dbo].[PG_CI_ARCUSFIL_SQL] 0, 0, 0, 42, 'RECICLADOS ECOLOGICOS DIVERSOS', 'RECICLADOS ECOLOGICOS DIVERSOS' , 'CASH02' , 200,260 , 8, 'JUAREZ', 'CALLE PASCUAL OROZCO 591' ,'COL. SANTA MARIA' , '32676' , '2013-01-15' , '42' , '1','','2','MISC ','','USD','','','N'</v>
      </c>
      <c r="AC43" s="11"/>
    </row>
    <row r="44" spans="1:29" s="10" customFormat="1" x14ac:dyDescent="0.25">
      <c r="A44" s="19"/>
      <c r="B44" s="20">
        <v>0</v>
      </c>
      <c r="C44" s="20">
        <v>0</v>
      </c>
      <c r="D44" s="20">
        <v>0</v>
      </c>
      <c r="E44" s="27">
        <v>43</v>
      </c>
      <c r="F44" s="21" t="s">
        <v>557</v>
      </c>
      <c r="G44" s="21" t="s">
        <v>557</v>
      </c>
      <c r="H44" s="25" t="s">
        <v>633</v>
      </c>
      <c r="I44" s="31">
        <v>200</v>
      </c>
      <c r="J44" s="31">
        <v>221</v>
      </c>
      <c r="K44" s="31">
        <v>64</v>
      </c>
      <c r="L44" s="32" t="s">
        <v>679</v>
      </c>
      <c r="M44" s="32" t="s">
        <v>732</v>
      </c>
      <c r="N44" s="32"/>
      <c r="O44" s="25" t="s">
        <v>811</v>
      </c>
      <c r="P44" s="37" t="s">
        <v>860</v>
      </c>
      <c r="Q44" s="36">
        <f>E44</f>
        <v>43</v>
      </c>
      <c r="R44" s="36">
        <v>1</v>
      </c>
      <c r="S44" s="25"/>
      <c r="T44" s="25">
        <v>2</v>
      </c>
      <c r="U44" s="25" t="s">
        <v>143</v>
      </c>
      <c r="V44" s="25"/>
      <c r="W44" s="25" t="s">
        <v>126</v>
      </c>
      <c r="X44" s="25"/>
      <c r="Y44" s="25"/>
      <c r="Z44" s="25" t="s">
        <v>124</v>
      </c>
      <c r="AB44" s="23" t="str">
        <f>CONCATENATE(CI_!$AE$1,E44,", '",F44,"', '",G44,"' , '",H44,"' , ",I44,",",J44," , ",K44,", '",L44,"', '",M44,"' ,'",N44,"' , '",O44,"' , '",P44,"' , '",Q44,"' , '",R44,"','",S44,"','",T44,"','",U44,"','",V44,"','",W44,"','",X44,"','",Y44,"','",Z44,"'")</f>
        <v>EXECUTE [dbo].[PG_CI_ARCUSFIL_SQL] 0, 0, 0, 43, 'PEARL LEATHER GROUP LLC', 'PEARL LEATHER GROUP LLC' , 'PEARL01' , 200,221 , 64, 'MANHASSET', '390 PLANDOME ROAD' ,'' , '11030' , '2013-01-24' , '43' , '1','','2','MISC ','','USD','','','N'</v>
      </c>
      <c r="AC44" s="11"/>
    </row>
    <row r="45" spans="1:29" s="10" customFormat="1" x14ac:dyDescent="0.25">
      <c r="A45" s="19"/>
      <c r="B45" s="20">
        <v>0</v>
      </c>
      <c r="C45" s="20">
        <v>0</v>
      </c>
      <c r="D45" s="20">
        <v>0</v>
      </c>
      <c r="E45" s="27">
        <v>44</v>
      </c>
      <c r="F45" s="21" t="s">
        <v>559</v>
      </c>
      <c r="G45" s="21" t="s">
        <v>559</v>
      </c>
      <c r="H45" s="25" t="s">
        <v>635</v>
      </c>
      <c r="I45" s="31">
        <v>200</v>
      </c>
      <c r="J45" s="31">
        <v>221</v>
      </c>
      <c r="K45" s="31">
        <v>54</v>
      </c>
      <c r="L45" s="32" t="s">
        <v>681</v>
      </c>
      <c r="M45" s="32" t="s">
        <v>734</v>
      </c>
      <c r="N45" s="32"/>
      <c r="O45" s="25" t="s">
        <v>813</v>
      </c>
      <c r="P45" s="37" t="s">
        <v>819</v>
      </c>
      <c r="Q45" s="36">
        <f>E45</f>
        <v>44</v>
      </c>
      <c r="R45" s="36">
        <v>1</v>
      </c>
      <c r="S45" s="25"/>
      <c r="T45" s="25">
        <v>2</v>
      </c>
      <c r="U45" s="25" t="s">
        <v>120</v>
      </c>
      <c r="V45" s="25"/>
      <c r="W45" s="25" t="s">
        <v>126</v>
      </c>
      <c r="X45" s="25"/>
      <c r="Y45" s="25"/>
      <c r="Z45" s="25" t="s">
        <v>124</v>
      </c>
      <c r="AB45" s="23" t="str">
        <f>CONCATENATE(CI_!$AE$1,E45,", '",F45,"', '",G45,"' , '",H45,"' , ",I45,",",J45," , ",K45,", '",L45,"', '",M45,"' ,'",N45,"' , '",O45,"' , '",P45,"' , '",Q45,"' , '",R45,"','",S45,"','",T45,"','",U45,"','",V45,"','",W45,"','",X45,"','",Y45,"','",Z45,"'")</f>
        <v>EXECUTE [dbo].[PG_CI_ARCUSFIL_SQL] 0, 0, 0, 44, 'PEARL LEATHER SALES', 'PEARL LEATHER SALES' , 'PSALES' , 200,221 , 54, 'BIRMINGHAM', '523 ARGYLE' ,'' , '48009' , '2015-08-31' , '44' , '1','','2','MCUEX','','USD','','','N'</v>
      </c>
      <c r="AC45" s="11"/>
    </row>
    <row r="46" spans="1:29" s="10" customFormat="1" x14ac:dyDescent="0.25">
      <c r="A46" s="19"/>
      <c r="B46" s="20">
        <v>0</v>
      </c>
      <c r="C46" s="20">
        <v>0</v>
      </c>
      <c r="D46" s="20">
        <v>0</v>
      </c>
      <c r="E46" s="27">
        <v>45</v>
      </c>
      <c r="F46" s="21" t="s">
        <v>558</v>
      </c>
      <c r="G46" s="21" t="s">
        <v>558</v>
      </c>
      <c r="H46" s="25" t="s">
        <v>634</v>
      </c>
      <c r="I46" s="31">
        <v>200</v>
      </c>
      <c r="J46" s="31">
        <v>221</v>
      </c>
      <c r="K46" s="31">
        <v>64</v>
      </c>
      <c r="L46" s="32" t="s">
        <v>680</v>
      </c>
      <c r="M46" s="32" t="s">
        <v>733</v>
      </c>
      <c r="N46" s="32"/>
      <c r="O46" s="25" t="s">
        <v>812</v>
      </c>
      <c r="P46" s="37" t="s">
        <v>819</v>
      </c>
      <c r="Q46" s="36">
        <f>E46</f>
        <v>45</v>
      </c>
      <c r="R46" s="36">
        <v>1</v>
      </c>
      <c r="S46" s="25"/>
      <c r="T46" s="25">
        <v>2</v>
      </c>
      <c r="U46" s="25" t="s">
        <v>120</v>
      </c>
      <c r="V46" s="25"/>
      <c r="W46" s="25" t="s">
        <v>126</v>
      </c>
      <c r="X46" s="25"/>
      <c r="Y46" s="25"/>
      <c r="Z46" s="25" t="s">
        <v>124</v>
      </c>
      <c r="AB46" s="23" t="str">
        <f>CONCATENATE(CI_!$AE$1,E46,", '",F46,"', '",G46,"' , '",H46,"' , ",I46,",",J46," , ",K46,", '",L46,"', '",M46,"' ,'",N46,"' , '",O46,"' , '",P46,"' , '",Q46,"' , '",R46,"','",S46,"','",T46,"','",U46,"','",V46,"','",W46,"','",X46,"','",Y46,"','",Z46,"'")</f>
        <v>EXECUTE [dbo].[PG_CI_ARCUSFIL_SQL] 0, 0, 0, 45, 'PEARL LEATHER FINISHERS', 'PEARL LEATHER FINISHERS' , 'PLFNY1' , 200,221 , 64, 'JOHNSTOWN', '11-21 INDUSTRIAL PARK' ,'' , '12095' , '2015-08-31' , '45' , '1','','2','MCUEX','','USD','','','N'</v>
      </c>
      <c r="AC46" s="11"/>
    </row>
    <row r="47" spans="1:29" s="10" customFormat="1" x14ac:dyDescent="0.25">
      <c r="A47" s="19"/>
      <c r="B47" s="20">
        <v>0</v>
      </c>
      <c r="C47" s="20">
        <v>0</v>
      </c>
      <c r="D47" s="20">
        <v>0</v>
      </c>
      <c r="E47" s="27">
        <v>46</v>
      </c>
      <c r="F47" s="21" t="s">
        <v>512</v>
      </c>
      <c r="G47" s="21" t="s">
        <v>512</v>
      </c>
      <c r="H47" s="25" t="s">
        <v>588</v>
      </c>
      <c r="I47" s="31">
        <v>200</v>
      </c>
      <c r="J47" s="31">
        <v>221</v>
      </c>
      <c r="K47" s="31">
        <v>64</v>
      </c>
      <c r="L47" s="32" t="s">
        <v>647</v>
      </c>
      <c r="M47" s="32" t="s">
        <v>691</v>
      </c>
      <c r="N47" s="32"/>
      <c r="O47" s="25">
        <v>11021</v>
      </c>
      <c r="P47" s="37" t="s">
        <v>819</v>
      </c>
      <c r="Q47" s="36">
        <f>E47</f>
        <v>46</v>
      </c>
      <c r="R47" s="36">
        <v>1</v>
      </c>
      <c r="S47" s="39" t="s">
        <v>1017</v>
      </c>
      <c r="T47" s="25">
        <v>2</v>
      </c>
      <c r="U47" s="25" t="s">
        <v>120</v>
      </c>
      <c r="V47" s="25"/>
      <c r="W47" s="25" t="s">
        <v>126</v>
      </c>
      <c r="X47" s="25"/>
      <c r="Y47" s="25"/>
      <c r="Z47" s="25" t="s">
        <v>124</v>
      </c>
      <c r="AB47" s="23" t="str">
        <f>CONCATENATE(CI_!$AE$1,E47,", '",F47,"', '",G47,"' , '",H47,"' , ",I47,",",J47," , ",K47,", '",L47,"', '",M47,"' ,'",N47,"' , '",O47,"' , '",P47,"' , '",Q47,"' , '",R47,"','",S47,"','",T47,"','",U47,"','",V47,"','",W47,"','",X47,"','",Y47,"','",Z47,"'")</f>
        <v>EXECUTE [dbo].[PG_CI_ARCUSFIL_SQL] 0, 0, 0, 46, 'AUTOMOTIVE LEATHER GROUP', 'AUTOMOTIVE LEATHER GROUP' , 'ALGRP1' , 200,221 , 64, 'GREAT NECK STATES', '17 BARSTOWN ROAD' ,'' , '11021' , '2015-08-31' , '46' , '1','BKAMALI@KAMALIGROUP.COM','2','MCUEX','','USD','','','N'</v>
      </c>
      <c r="AC47" s="11"/>
    </row>
    <row r="48" spans="1:29" s="10" customFormat="1" x14ac:dyDescent="0.25">
      <c r="A48" s="19"/>
      <c r="B48" s="20">
        <v>0</v>
      </c>
      <c r="C48" s="20">
        <v>0</v>
      </c>
      <c r="D48" s="20">
        <v>0</v>
      </c>
      <c r="E48" s="27">
        <v>47</v>
      </c>
      <c r="F48" s="21" t="s">
        <v>548</v>
      </c>
      <c r="G48" s="21" t="s">
        <v>582</v>
      </c>
      <c r="H48" s="25" t="s">
        <v>624</v>
      </c>
      <c r="I48" s="31">
        <v>200</v>
      </c>
      <c r="J48" s="31">
        <v>221</v>
      </c>
      <c r="K48" s="31">
        <v>75</v>
      </c>
      <c r="L48" s="32" t="s">
        <v>661</v>
      </c>
      <c r="M48" s="32" t="s">
        <v>724</v>
      </c>
      <c r="N48" s="32" t="s">
        <v>767</v>
      </c>
      <c r="O48" s="25" t="s">
        <v>792</v>
      </c>
      <c r="P48" s="37" t="s">
        <v>819</v>
      </c>
      <c r="Q48" s="36">
        <f>E48</f>
        <v>47</v>
      </c>
      <c r="R48" s="36">
        <v>1</v>
      </c>
      <c r="S48" s="25"/>
      <c r="T48" s="25">
        <v>2</v>
      </c>
      <c r="U48" s="25" t="s">
        <v>120</v>
      </c>
      <c r="V48" s="25"/>
      <c r="W48" s="25" t="s">
        <v>126</v>
      </c>
      <c r="X48" s="25"/>
      <c r="Y48" s="25"/>
      <c r="Z48" s="25" t="s">
        <v>124</v>
      </c>
      <c r="AB48" s="23" t="str">
        <f>CONCATENATE(CI_!$AE$1,E48,", '",F48,"', '",G48,"' , '",H48,"' , ",I48,",",J48," , ",K48,", '",L48,"', '",M48,"' ,'",N48,"' , '",O48,"' , '",P48,"' , '",Q48,"' , '",R48,"','",S48,"','",T48,"','",U48,"','",V48,"','",W48,"','",X48,"','",Y48,"','",Z48,"'")</f>
        <v>EXECUTE [dbo].[PG_CI_ARCUSFIL_SQL] 0, 0, 0, 47, 'MAGNA SEATING', 'MAGNA SEATING OF AMERICA INC' , 'MAGN04' , 200,221 , 75, 'DEL RIO', '2199 SPUR 239' ,'MAILING TO: P.O BOX 420699' , '78840' , '2015-08-31' , '47' , '1','','2','MCUEX','','USD','','','N'</v>
      </c>
      <c r="AC48" s="11"/>
    </row>
    <row r="49" spans="1:31" s="10" customFormat="1" x14ac:dyDescent="0.25">
      <c r="A49" s="19"/>
      <c r="B49" s="20">
        <v>0</v>
      </c>
      <c r="C49" s="20">
        <v>0</v>
      </c>
      <c r="D49" s="20">
        <v>0</v>
      </c>
      <c r="E49" s="27">
        <v>48</v>
      </c>
      <c r="F49" s="21" t="s">
        <v>535</v>
      </c>
      <c r="G49" s="21" t="s">
        <v>535</v>
      </c>
      <c r="H49" s="25" t="s">
        <v>611</v>
      </c>
      <c r="I49" s="31">
        <v>200</v>
      </c>
      <c r="J49" s="31">
        <v>221</v>
      </c>
      <c r="K49" s="31">
        <v>64</v>
      </c>
      <c r="L49" s="32" t="s">
        <v>648</v>
      </c>
      <c r="M49" s="32" t="s">
        <v>713</v>
      </c>
      <c r="N49" s="32"/>
      <c r="O49" s="25" t="s">
        <v>779</v>
      </c>
      <c r="P49" s="37" t="s">
        <v>841</v>
      </c>
      <c r="Q49" s="36">
        <f>E49</f>
        <v>48</v>
      </c>
      <c r="R49" s="36">
        <v>1</v>
      </c>
      <c r="S49" s="25"/>
      <c r="T49" s="25">
        <v>2</v>
      </c>
      <c r="U49" s="25" t="s">
        <v>143</v>
      </c>
      <c r="V49" s="25"/>
      <c r="W49" s="25" t="s">
        <v>126</v>
      </c>
      <c r="X49" s="25"/>
      <c r="Y49" s="25"/>
      <c r="Z49" s="25" t="s">
        <v>124</v>
      </c>
      <c r="AB49" s="23" t="str">
        <f>CONCATENATE(CI_!$AE$1,E49,", '",F49,"', '",G49,"' , '",H49,"' , ",I49,",",J49," , ",K49,", '",L49,"', '",M49,"' ,'",N49,"' , '",O49,"' , '",P49,"' , '",Q49,"' , '",R49,"','",S49,"','",T49,"','",U49,"','",V49,"','",W49,"','",X49,"','",Y49,"','",Z49,"'")</f>
        <v>EXECUTE [dbo].[PG_CI_ARCUSFIL_SQL] 0, 0, 0, 48, 'KAMALI GROUP INCORPORATED', 'KAMALI GROUP INCORPORATED' , 'KAMA01' , 200,221 , 64, 'GREAT NECK', '17 BARSTOW ROAD' ,'' , '11021' , '2015-12-07' , '48' , '1','','2','MISC ','','USD','','','N'</v>
      </c>
      <c r="AC49" s="11"/>
    </row>
    <row r="50" spans="1:31" s="10" customFormat="1" x14ac:dyDescent="0.25">
      <c r="A50" s="19"/>
      <c r="B50" s="20">
        <v>0</v>
      </c>
      <c r="C50" s="20">
        <v>0</v>
      </c>
      <c r="D50" s="20">
        <v>0</v>
      </c>
      <c r="E50" s="27">
        <v>49</v>
      </c>
      <c r="F50" s="21" t="s">
        <v>513</v>
      </c>
      <c r="G50" s="21" t="s">
        <v>513</v>
      </c>
      <c r="H50" s="25" t="s">
        <v>589</v>
      </c>
      <c r="I50" s="31">
        <v>200</v>
      </c>
      <c r="J50" s="31">
        <v>221</v>
      </c>
      <c r="K50" s="31">
        <v>64</v>
      </c>
      <c r="L50" s="32" t="s">
        <v>648</v>
      </c>
      <c r="M50" s="32" t="s">
        <v>692</v>
      </c>
      <c r="N50" s="32" t="s">
        <v>747</v>
      </c>
      <c r="O50" s="25">
        <v>11021</v>
      </c>
      <c r="P50" s="37" t="s">
        <v>820</v>
      </c>
      <c r="Q50" s="36">
        <f>E50</f>
        <v>49</v>
      </c>
      <c r="R50" s="36">
        <v>1</v>
      </c>
      <c r="S50" s="25"/>
      <c r="T50" s="25">
        <v>2</v>
      </c>
      <c r="U50" s="25" t="s">
        <v>143</v>
      </c>
      <c r="V50" s="25"/>
      <c r="W50" s="25" t="s">
        <v>144</v>
      </c>
      <c r="X50" s="25"/>
      <c r="Y50" s="25"/>
      <c r="Z50" s="25" t="s">
        <v>124</v>
      </c>
      <c r="AB50" s="23" t="str">
        <f>CONCATENATE(CI_!$AE$1,E50,", '",F50,"', '",G50,"' , '",H50,"' , ",I50,",",J50," , ",K50,", '",L50,"', '",M50,"' ,'",N50,"' , '",O50,"' , '",P50,"' , '",Q50,"' , '",R50,"','",S50,"','",T50,"','",U50,"','",V50,"','",W50,"','",X50,"','",Y50,"','",Z50,"'")</f>
        <v>EXECUTE [dbo].[PG_CI_ARCUSFIL_SQL] 0, 0, 0, 49, 'BILTMORE CORPORATION', 'BILTMORE CORPORATION' , 'BILT01' , 200,221 , 64, 'GREAT NECK', '17 BARSTOW RD.' ,'SUITE 206' , '11021' , '2016-12-08' , '49' , '1','','2','MISC ','','AUD','','','N'</v>
      </c>
      <c r="AC50" s="11"/>
    </row>
    <row r="51" spans="1:31" s="10" customFormat="1" x14ac:dyDescent="0.25">
      <c r="A51" s="19"/>
      <c r="B51" s="20">
        <v>0</v>
      </c>
      <c r="C51" s="20">
        <v>0</v>
      </c>
      <c r="D51" s="20">
        <v>0</v>
      </c>
      <c r="E51" s="27">
        <v>50</v>
      </c>
      <c r="F51" s="21" t="s">
        <v>563</v>
      </c>
      <c r="G51" s="21" t="s">
        <v>563</v>
      </c>
      <c r="H51" s="25" t="s">
        <v>639</v>
      </c>
      <c r="I51" s="31">
        <v>200</v>
      </c>
      <c r="J51" s="31">
        <v>260</v>
      </c>
      <c r="K51" s="31">
        <v>8</v>
      </c>
      <c r="L51" s="32" t="s">
        <v>13</v>
      </c>
      <c r="M51" s="32" t="s">
        <v>738</v>
      </c>
      <c r="N51" s="32" t="s">
        <v>773</v>
      </c>
      <c r="O51" s="25" t="s">
        <v>814</v>
      </c>
      <c r="P51" s="37" t="s">
        <v>864</v>
      </c>
      <c r="Q51" s="36">
        <f>E51</f>
        <v>50</v>
      </c>
      <c r="R51" s="36">
        <v>1</v>
      </c>
      <c r="S51" s="25"/>
      <c r="T51" s="25">
        <v>2</v>
      </c>
      <c r="U51" s="25" t="s">
        <v>250</v>
      </c>
      <c r="V51" s="25"/>
      <c r="W51" s="25" t="s">
        <v>126</v>
      </c>
      <c r="X51" s="25"/>
      <c r="Y51" s="25"/>
      <c r="Z51" s="25" t="s">
        <v>124</v>
      </c>
      <c r="AB51" s="23" t="str">
        <f>CONCATENATE(CI_!$AE$1,E51,", '",F51,"', '",G51,"' , '",H51,"' , ",I51,",",J51," , ",K51,", '",L51,"', '",M51,"' ,'",N51,"' , '",O51,"' , '",P51,"' , '",Q51,"' , '",R51,"','",S51,"','",T51,"','",U51,"','",V51,"','",W51,"','",X51,"','",Y51,"','",Z51,"'")</f>
        <v>EXECUTE [dbo].[PG_CI_ARCUSFIL_SQL] 0, 0, 0, 50, 'RICARDO VALTIERRA HERNANDEZ', 'RICARDO VALTIERRA HERNANDEZ' , 'VALT01' , 200,260 , 8, 'JUAREZ', 'FRAY GARCIA DE SAN FRANCISCO NO. 880' ,'COL. BELLAVISTA' , '32000' , '2019-03-19' , '50' , '1','','2','MFUEX','','USD','','','N'</v>
      </c>
      <c r="AC51" s="11"/>
    </row>
    <row r="52" spans="1:31" s="10" customFormat="1" x14ac:dyDescent="0.25">
      <c r="A52" s="19"/>
      <c r="B52" s="20">
        <v>0</v>
      </c>
      <c r="C52" s="20">
        <v>0</v>
      </c>
      <c r="D52" s="20">
        <v>0</v>
      </c>
      <c r="E52" s="27">
        <v>51</v>
      </c>
      <c r="F52" s="21" t="s">
        <v>522</v>
      </c>
      <c r="G52" s="21" t="s">
        <v>522</v>
      </c>
      <c r="H52" s="25" t="s">
        <v>598</v>
      </c>
      <c r="I52" s="31">
        <v>200</v>
      </c>
      <c r="J52" s="31">
        <v>221</v>
      </c>
      <c r="K52" s="31">
        <v>54</v>
      </c>
      <c r="L52" s="32" t="s">
        <v>656</v>
      </c>
      <c r="M52" s="32" t="s">
        <v>700</v>
      </c>
      <c r="N52" s="32" t="s">
        <v>570</v>
      </c>
      <c r="O52" s="25">
        <v>48321</v>
      </c>
      <c r="P52" s="37" t="s">
        <v>829</v>
      </c>
      <c r="Q52" s="36">
        <f>E52</f>
        <v>51</v>
      </c>
      <c r="R52" s="36">
        <v>1</v>
      </c>
      <c r="S52" s="25"/>
      <c r="T52" s="25">
        <v>2</v>
      </c>
      <c r="U52" s="25" t="s">
        <v>120</v>
      </c>
      <c r="V52" s="25"/>
      <c r="W52" s="25" t="s">
        <v>126</v>
      </c>
      <c r="X52" s="25"/>
      <c r="Y52" s="25"/>
      <c r="Z52" s="25" t="s">
        <v>124</v>
      </c>
      <c r="AB52" s="23" t="str">
        <f>CONCATENATE(CI_!$AE$1,E52,", '",F52,"', '",G52,"' , '",H52,"' , ",I52,",",J52," , ",K52,", '",L52,"', '",M52,"' ,'",N52,"' , '",O52,"' , '",P52,"' , '",Q52,"' , '",R52,"','",S52,"','",T52,"','",U52,"','",V52,"','",W52,"','",X52,"','",Y52,"','",Z52,"'")</f>
        <v>EXECUTE [dbo].[PG_CI_ARCUSFIL_SQL] 0, 0, 0, 51, 'FAURECIA AUTOMOTIVE SEATING INC.', 'FAURECIA AUTOMOTIVE SEATING INC.' , 'FAUR01' , 200,221 , 54, 'AUBURN HILLS', 'TROY_1402' ,'' , '48321' , '2019-11-11' , '51' , '1','','2','MCUEX','','USD','','','N'</v>
      </c>
      <c r="AC52" s="11"/>
    </row>
    <row r="53" spans="1:31" s="10" customFormat="1" x14ac:dyDescent="0.25">
      <c r="A53" s="19"/>
      <c r="B53" s="20">
        <v>0</v>
      </c>
      <c r="C53" s="20">
        <v>0</v>
      </c>
      <c r="D53" s="20">
        <v>0</v>
      </c>
      <c r="E53" s="27">
        <v>52</v>
      </c>
      <c r="F53" s="21" t="s">
        <v>510</v>
      </c>
      <c r="G53" s="22" t="s">
        <v>12</v>
      </c>
      <c r="H53" s="22" t="s">
        <v>1019</v>
      </c>
      <c r="I53" s="31">
        <v>0</v>
      </c>
      <c r="J53" s="31">
        <v>0</v>
      </c>
      <c r="K53" s="31">
        <v>0</v>
      </c>
      <c r="L53" s="25" t="s">
        <v>510</v>
      </c>
      <c r="M53" s="25" t="s">
        <v>510</v>
      </c>
      <c r="N53" s="25" t="s">
        <v>510</v>
      </c>
      <c r="O53" s="25">
        <v>0</v>
      </c>
      <c r="P53" s="37">
        <v>36526</v>
      </c>
      <c r="Q53" s="36">
        <f>E53</f>
        <v>52</v>
      </c>
      <c r="R53" s="36">
        <v>1</v>
      </c>
      <c r="S53" s="25"/>
      <c r="T53" s="25">
        <v>2</v>
      </c>
      <c r="U53" s="25" t="s">
        <v>120</v>
      </c>
      <c r="V53" s="25"/>
      <c r="W53" s="25" t="s">
        <v>126</v>
      </c>
      <c r="X53" s="25"/>
      <c r="Y53" s="25"/>
      <c r="Z53" s="25" t="s">
        <v>124</v>
      </c>
      <c r="AB53" s="23" t="str">
        <f>CONCATENATE(CI_!$AE$1,E53,", '",F53,"', '",G53,"' , '",H53,"' , ",I53,",",J53," , ",K53,", '",L53,"', '",M53,"' ,'",N53,"' , '",O53,"' , '",P53,"' , '",Q53,"' , '",R53,"','",S53,"','",T53,"','",U53,"','",V53,"','",W53,"','",X53,"','",Y53,"','",Z53,"'")</f>
        <v>EXECUTE [dbo].[PG_CI_ARCUSFIL_SQL] 0, 0, 0, 52, '(NO-Customer)', '( N/C )' , 'XXXX00' , 0,0 , 0, '(NO-Customer)', '(NO-Customer)' ,'(NO-Customer)' , '0' , '36526' , '52' , '1','','2','MCUEX','','USD','','','N'</v>
      </c>
      <c r="AC53" s="11"/>
    </row>
    <row r="54" spans="1:31" s="10" customFormat="1" x14ac:dyDescent="0.25">
      <c r="A54" s="19"/>
      <c r="B54" s="20">
        <v>0</v>
      </c>
      <c r="C54" s="20">
        <v>0</v>
      </c>
      <c r="D54" s="20">
        <v>0</v>
      </c>
      <c r="E54" s="27">
        <v>53</v>
      </c>
      <c r="F54" s="21" t="s">
        <v>567</v>
      </c>
      <c r="G54" s="21" t="s">
        <v>567</v>
      </c>
      <c r="H54" s="25" t="s">
        <v>643</v>
      </c>
      <c r="I54" s="31">
        <v>200</v>
      </c>
      <c r="J54" s="31">
        <v>221</v>
      </c>
      <c r="K54" s="31">
        <v>54</v>
      </c>
      <c r="L54" s="32" t="s">
        <v>687</v>
      </c>
      <c r="M54" s="32" t="s">
        <v>742</v>
      </c>
      <c r="N54" s="32"/>
      <c r="O54" s="25" t="s">
        <v>817</v>
      </c>
      <c r="P54" s="37" t="s">
        <v>833</v>
      </c>
      <c r="Q54" s="36">
        <f>E54</f>
        <v>53</v>
      </c>
      <c r="R54" s="36">
        <v>1</v>
      </c>
      <c r="S54" s="25"/>
      <c r="T54" s="25">
        <v>2</v>
      </c>
      <c r="U54" s="25" t="s">
        <v>120</v>
      </c>
      <c r="V54" s="25"/>
      <c r="W54" s="25" t="s">
        <v>126</v>
      </c>
      <c r="X54" s="25"/>
      <c r="Y54" s="25"/>
      <c r="Z54" s="25" t="s">
        <v>124</v>
      </c>
      <c r="AB54" s="23" t="str">
        <f>CONCATENATE(CI_!$AE$1,E54,", '",F54,"', '",G54,"' , '",H54,"' , ",I54,",",J54," , ",K54,", '",L54,"', '",M54,"' ,'",N54,"' , '",O54,"' , '",P54,"' , '",Q54,"' , '",R54,"','",S54,"','",T54,"','",U54,"','",V54,"','",W54,"','",X54,"','",Y54,"','",Z54,"'")</f>
        <v>EXECUTE [dbo].[PG_CI_ARCUSFIL_SQL] 0, 0, 0, 53, 'YANFENG AUTOMOTIVE INTERIOR', 'YANFENG AUTOMOTIVE INTERIOR' , 'YANG02' , 200,221 , 54, 'ROAD NOV', '1935 WEST 12 MILE ROAD NOVI, MI 48377' ,'' , '48152' , '2019-11-19' , '53' , '1','','2','MCUEX','','USD','','','N'</v>
      </c>
      <c r="AC54" s="11"/>
    </row>
    <row r="55" spans="1:31" s="10" customFormat="1" x14ac:dyDescent="0.25">
      <c r="A55" s="19"/>
      <c r="B55" s="20">
        <v>0</v>
      </c>
      <c r="C55" s="20">
        <v>0</v>
      </c>
      <c r="D55" s="20">
        <v>0</v>
      </c>
      <c r="E55" s="27">
        <v>54</v>
      </c>
      <c r="F55" s="21" t="s">
        <v>527</v>
      </c>
      <c r="G55" s="21" t="s">
        <v>570</v>
      </c>
      <c r="H55" s="25" t="s">
        <v>603</v>
      </c>
      <c r="I55" s="31">
        <v>200</v>
      </c>
      <c r="J55" s="31">
        <v>221</v>
      </c>
      <c r="K55" s="31">
        <v>54</v>
      </c>
      <c r="L55" s="32" t="s">
        <v>651</v>
      </c>
      <c r="M55" s="32" t="s">
        <v>705</v>
      </c>
      <c r="N55" s="32" t="s">
        <v>570</v>
      </c>
      <c r="O55" s="25" t="s">
        <v>782</v>
      </c>
      <c r="P55" s="37" t="s">
        <v>833</v>
      </c>
      <c r="Q55" s="36">
        <f>E55</f>
        <v>54</v>
      </c>
      <c r="R55" s="36">
        <v>1</v>
      </c>
      <c r="S55" s="25"/>
      <c r="T55" s="25">
        <v>2</v>
      </c>
      <c r="U55" s="25" t="s">
        <v>120</v>
      </c>
      <c r="V55" s="25"/>
      <c r="W55" s="25" t="s">
        <v>126</v>
      </c>
      <c r="X55" s="25"/>
      <c r="Y55" s="25"/>
      <c r="Z55" s="25" t="s">
        <v>124</v>
      </c>
      <c r="AB55" s="23" t="str">
        <f>CONCATENATE(CI_!$AE$1,E55,", '",F55,"', '",G55,"' , '",H55,"' , ",I55,",",J55," , ",K55,", '",L55,"', '",M55,"' ,'",N55,"' , '",O55,"' , '",P55,"' , '",Q55,"' , '",R55,"','",S55,"','",T55,"','",U55,"','",V55,"','",W55,"','",X55,"','",Y55,"','",Z55,"'")</f>
        <v>EXECUTE [dbo].[PG_CI_ARCUSFIL_SQL] 0, 0, 0, 54, 'GRAMMER INDUSTRIES, INC', '' , 'GRAM04' , 200,221 , 54, 'TROY', '1975 TECHNOLOGY DR' ,'' , '48083' , '2019-11-19' , '54' , '1','','2','MCUEX','','USD','','','N'</v>
      </c>
      <c r="AC55" s="11"/>
    </row>
    <row r="56" spans="1:31" s="10" customFormat="1" x14ac:dyDescent="0.25">
      <c r="A56" s="19"/>
      <c r="B56" s="20">
        <v>0</v>
      </c>
      <c r="C56" s="20">
        <v>0</v>
      </c>
      <c r="D56" s="20">
        <v>0</v>
      </c>
      <c r="E56" s="27">
        <v>55</v>
      </c>
      <c r="F56" s="21" t="s">
        <v>566</v>
      </c>
      <c r="G56" s="21" t="s">
        <v>570</v>
      </c>
      <c r="H56" s="25" t="s">
        <v>642</v>
      </c>
      <c r="I56" s="31">
        <v>200</v>
      </c>
      <c r="J56" s="31">
        <v>221</v>
      </c>
      <c r="K56" s="31">
        <v>54</v>
      </c>
      <c r="L56" s="32" t="s">
        <v>686</v>
      </c>
      <c r="M56" s="32" t="s">
        <v>741</v>
      </c>
      <c r="N56" s="32" t="s">
        <v>775</v>
      </c>
      <c r="O56" s="25" t="s">
        <v>816</v>
      </c>
      <c r="P56" s="37" t="s">
        <v>867</v>
      </c>
      <c r="Q56" s="36">
        <f>E56</f>
        <v>55</v>
      </c>
      <c r="R56" s="36">
        <v>1</v>
      </c>
      <c r="S56" s="25"/>
      <c r="T56" s="25">
        <v>2</v>
      </c>
      <c r="U56" s="25" t="s">
        <v>120</v>
      </c>
      <c r="V56" s="25"/>
      <c r="W56" s="25" t="s">
        <v>126</v>
      </c>
      <c r="X56" s="25"/>
      <c r="Y56" s="25"/>
      <c r="Z56" s="25" t="s">
        <v>124</v>
      </c>
      <c r="AB56" s="23" t="str">
        <f>CONCATENATE(CI_!$AE$1,E56,", '",F56,"', '",G56,"' , '",H56,"' , ",I56,",",J56," , ",K56,", '",L56,"', '",M56,"' ,'",N56,"' , '",O56,"' , '",P56,"' , '",Q56,"' , '",R56,"','",S56,"','",T56,"','",U56,"','",V56,"','",W56,"','",X56,"','",Y56,"','",Z56,"'")</f>
        <v>EXECUTE [dbo].[PG_CI_ARCUSFIL_SQL] 0, 0, 0, 55, 'WPI', '' , 'WPI003' , 200,221 , 54, 'WILLIAMSTON', 'WILLIAMSTON PRODUCTS,INC' ,'845 PROGRESS CT' , '48895' , '2019-12-04' , '55' , '1','','2','MCUEX','','USD','','','N'</v>
      </c>
      <c r="AC56" s="11"/>
    </row>
    <row r="57" spans="1:31" s="10" customFormat="1" x14ac:dyDescent="0.25">
      <c r="A57" s="19"/>
      <c r="B57" s="20">
        <v>0</v>
      </c>
      <c r="C57" s="20">
        <v>0</v>
      </c>
      <c r="D57" s="20">
        <v>0</v>
      </c>
      <c r="E57" s="27">
        <v>56</v>
      </c>
      <c r="F57" s="21" t="s">
        <v>518</v>
      </c>
      <c r="G57" s="21" t="s">
        <v>571</v>
      </c>
      <c r="H57" s="25" t="s">
        <v>594</v>
      </c>
      <c r="I57" s="31">
        <v>200</v>
      </c>
      <c r="J57" s="31">
        <v>260</v>
      </c>
      <c r="K57" s="31">
        <v>5</v>
      </c>
      <c r="L57" s="32" t="s">
        <v>652</v>
      </c>
      <c r="M57" s="32" t="s">
        <v>696</v>
      </c>
      <c r="N57" s="32" t="s">
        <v>750</v>
      </c>
      <c r="O57" s="25">
        <v>0</v>
      </c>
      <c r="P57" s="37" t="s">
        <v>825</v>
      </c>
      <c r="Q57" s="36">
        <f>E57</f>
        <v>56</v>
      </c>
      <c r="R57" s="36">
        <v>1</v>
      </c>
      <c r="S57" s="39" t="s">
        <v>1018</v>
      </c>
      <c r="T57" s="25">
        <v>2</v>
      </c>
      <c r="U57" s="25" t="s">
        <v>120</v>
      </c>
      <c r="V57" s="25"/>
      <c r="W57" s="25" t="s">
        <v>126</v>
      </c>
      <c r="X57" s="25"/>
      <c r="Y57" s="25"/>
      <c r="Z57" s="25" t="s">
        <v>124</v>
      </c>
      <c r="AB57" s="23" t="str">
        <f>CONCATENATE(CI_!$AE$1,E57,", '",F57,"', '",G57,"' , '",H57,"' , ",I57,",",J57," , ",K57,", '",L57,"', '",M57,"' ,'",N57,"' , '",O57,"' , '",P57,"' , '",Q57,"' , '",R57,"','",S57,"','",T57,"','",U57,"','",V57,"','",W57,"','",X57,"','",Y57,"','",Z57,"'")</f>
        <v>EXECUTE [dbo].[PG_CI_ARCUSFIL_SQL] 0, 0, 0, 56, 'DAIMAY AUTOMOTIVE INTERIOR, S. DE R.L. D', 'DAIMAY AUTOMOTIVE INTE' , 'DAIM05' , 200,260 , 5, 'RAMOS ARZIPE', 'AVE. CENZONTLE ESQ. HALCON' ,'CARRETERA MONCLOVA #7' , '0' , '2020-02-05' , '56' , '1','OFFICE@DAIMAYUS.COM','2','MCUEX','','USD','','','N'</v>
      </c>
      <c r="AC57" s="11"/>
    </row>
    <row r="58" spans="1:31" s="10" customFormat="1" x14ac:dyDescent="0.25">
      <c r="A58" s="19"/>
      <c r="B58" s="20">
        <v>0</v>
      </c>
      <c r="C58" s="20">
        <v>0</v>
      </c>
      <c r="D58" s="20">
        <v>0</v>
      </c>
      <c r="E58" s="27">
        <v>57</v>
      </c>
      <c r="F58" s="21" t="s">
        <v>520</v>
      </c>
      <c r="G58" s="21" t="s">
        <v>572</v>
      </c>
      <c r="H58" s="25" t="s">
        <v>596</v>
      </c>
      <c r="I58" s="31">
        <v>200</v>
      </c>
      <c r="J58" s="31">
        <v>260</v>
      </c>
      <c r="K58" s="31">
        <v>29</v>
      </c>
      <c r="L58" s="32" t="s">
        <v>745</v>
      </c>
      <c r="M58" s="32" t="s">
        <v>698</v>
      </c>
      <c r="N58" s="32" t="s">
        <v>752</v>
      </c>
      <c r="O58" s="25">
        <v>90796</v>
      </c>
      <c r="P58" s="37" t="s">
        <v>827</v>
      </c>
      <c r="Q58" s="36">
        <f>E58</f>
        <v>57</v>
      </c>
      <c r="R58" s="36">
        <v>1</v>
      </c>
      <c r="S58" s="25"/>
      <c r="T58" s="25">
        <v>2</v>
      </c>
      <c r="U58" s="25" t="s">
        <v>120</v>
      </c>
      <c r="V58" s="25"/>
      <c r="W58" s="25" t="s">
        <v>126</v>
      </c>
      <c r="X58" s="25"/>
      <c r="Y58" s="25"/>
      <c r="Z58" s="25" t="s">
        <v>124</v>
      </c>
      <c r="AB58" s="23" t="str">
        <f>CONCATENATE(CI_!$AE$1,E58,", '",F58,"', '",G58,"' , '",H58,"' , ",I58,",",J58," , ",K58,", '",L58,"', '",M58,"' ,'",N58,"' , '",O58,"' , '",P58,"' , '",Q58,"' , '",R58,"','",S58,"','",T58,"','",U58,"','",V58,"','",W58,"','",X58,"','",Y58,"','",Z58,"'")</f>
        <v>EXECUTE [dbo].[PG_CI_ARCUSFIL_SQL] 0, 0, 0, 57, 'Eissmann Automotive de Mexico', 'EISSMANN AUTOMOTIVE DE MEXICO' , 'EISS01' , 200,260 , 29, 'PANZACOLA', 'Reforma Sur No. 27' ,'Nave 1' , '90796' , '2020-09-01' , '57' , '1','','2','MCUEX','','USD','','','N'</v>
      </c>
      <c r="AC58" s="11"/>
    </row>
    <row r="59" spans="1:31" s="10" customFormat="1" x14ac:dyDescent="0.25">
      <c r="A59" s="19"/>
      <c r="B59" s="20">
        <v>0</v>
      </c>
      <c r="C59" s="20">
        <v>0</v>
      </c>
      <c r="D59" s="20">
        <v>0</v>
      </c>
      <c r="E59" s="27">
        <v>58</v>
      </c>
      <c r="F59" s="21" t="s">
        <v>568</v>
      </c>
      <c r="G59" s="21" t="s">
        <v>568</v>
      </c>
      <c r="H59" s="25" t="s">
        <v>644</v>
      </c>
      <c r="I59" s="31">
        <v>300</v>
      </c>
      <c r="J59" s="31">
        <v>349</v>
      </c>
      <c r="K59" s="31">
        <v>123</v>
      </c>
      <c r="L59" s="32" t="s">
        <v>688</v>
      </c>
      <c r="M59" s="32" t="s">
        <v>743</v>
      </c>
      <c r="N59" s="32" t="s">
        <v>776</v>
      </c>
      <c r="O59" s="25" t="s">
        <v>818</v>
      </c>
      <c r="P59" s="37" t="s">
        <v>868</v>
      </c>
      <c r="Q59" s="36">
        <f>E59</f>
        <v>58</v>
      </c>
      <c r="R59" s="36">
        <v>1</v>
      </c>
      <c r="S59" s="25"/>
      <c r="T59" s="25">
        <v>11</v>
      </c>
      <c r="U59" s="25" t="s">
        <v>120</v>
      </c>
      <c r="V59" s="25"/>
      <c r="W59" s="25" t="s">
        <v>126</v>
      </c>
      <c r="X59" s="25"/>
      <c r="Y59" s="25"/>
      <c r="Z59" s="25" t="s">
        <v>124</v>
      </c>
      <c r="AB59" s="23" t="str">
        <f>CONCATENATE(CI_!$AE$1,E59,", '",F59,"', '",G59,"' , '",H59,"' , ",I59,",",J59," , ",K59,", '",L59,"', '",M59,"' ,'",N59,"' , '",O59,"' , '",P59,"' , '",Q59,"' , '",R59,"','",S59,"','",T59,"','",U59,"','",V59,"','",W59,"','",X59,"','",Y59,"','",Z59,"'")</f>
        <v>EXECUTE [dbo].[PG_CI_ARCUSFIL_SQL] 0, 0, 0, 58, 'YANGFENG AUTOMOTIVE INTERIOR SYSTEMS(THAILAND) CO.,LTD', 'YANGFENG AUTOMOTIVE INTERIOR SYSTEMS(THAILAND) CO.,LTD' , 'YANG03' , 300,349 , 123, 'CHONBURI', '700/20 WHA EASTERN SEABOARD INDUSTRIAL' ,'1 MOO 7 TAMBOL KAOKANSONG, AMPHUR SRIRACH' , '700/20' , '2020-11-19' , '58' , '1','','11','MCUEX','','USD','','','N'</v>
      </c>
      <c r="AC59" s="11"/>
    </row>
    <row r="60" spans="1:31" s="10" customFormat="1" x14ac:dyDescent="0.25">
      <c r="A60" s="19"/>
      <c r="B60" s="20">
        <v>0</v>
      </c>
      <c r="C60" s="20">
        <v>0</v>
      </c>
      <c r="D60" s="20">
        <v>0</v>
      </c>
      <c r="E60" s="27">
        <v>59</v>
      </c>
      <c r="F60" s="21" t="s">
        <v>511</v>
      </c>
      <c r="G60" s="21" t="s">
        <v>570</v>
      </c>
      <c r="H60" s="25" t="s">
        <v>587</v>
      </c>
      <c r="I60" s="31">
        <v>200</v>
      </c>
      <c r="J60" s="31">
        <v>221</v>
      </c>
      <c r="K60" s="31">
        <v>54</v>
      </c>
      <c r="L60" s="32" t="s">
        <v>646</v>
      </c>
      <c r="M60" s="32" t="s">
        <v>690</v>
      </c>
      <c r="N60" s="32" t="s">
        <v>570</v>
      </c>
      <c r="O60" s="25">
        <v>49200</v>
      </c>
      <c r="P60" s="37" t="s">
        <v>870</v>
      </c>
      <c r="Q60" s="36">
        <f>E60</f>
        <v>59</v>
      </c>
      <c r="R60" s="36">
        <v>1</v>
      </c>
      <c r="S60" s="25"/>
      <c r="T60" s="25">
        <v>2</v>
      </c>
      <c r="U60" s="25" t="s">
        <v>120</v>
      </c>
      <c r="V60" s="25"/>
      <c r="W60" s="25" t="s">
        <v>126</v>
      </c>
      <c r="X60" s="25"/>
      <c r="Y60" s="25"/>
      <c r="Z60" s="25" t="s">
        <v>124</v>
      </c>
      <c r="AB60" s="23" t="str">
        <f>CONCATENATE(CI_!$AE$1,E60,", '",F60,"', '",G60,"' , '",H60,"' , ",I60,",",J60," , ",K60,", '",L60,"', '",M60,"' ,'",N60,"' , '",O60,"' , '",P60,"' , '",Q60,"' , '",R60,"','",S60,"','",T60,"','",U60,"','",V60,"','",W60,"','",X60,"','",Y60,"','",Z60,"'")</f>
        <v>EXECUTE [dbo].[PG_CI_ARCUSFIL_SQL] 0, 0, 0, 59, 'ADIENT US LLC', '' , 'ADIE01' , 200,221 , 54, 'PLYMOUTH', '49200 HALYARD DRIVE.PLYMOUTH,' ,'' , '49200' , '2020-12-16' , '59' , '1','','2','MCUEX','','USD','','','N'</v>
      </c>
      <c r="AC60" s="11"/>
    </row>
    <row r="61" spans="1:31" s="10" customFormat="1" x14ac:dyDescent="0.25">
      <c r="A61" s="19"/>
      <c r="B61" s="20">
        <v>0</v>
      </c>
      <c r="C61" s="20">
        <v>0</v>
      </c>
      <c r="D61" s="20">
        <v>0</v>
      </c>
      <c r="E61" s="27">
        <v>60</v>
      </c>
      <c r="F61" s="21" t="s">
        <v>569</v>
      </c>
      <c r="G61" s="21" t="s">
        <v>569</v>
      </c>
      <c r="H61" s="25" t="s">
        <v>645</v>
      </c>
      <c r="I61" s="31">
        <v>300</v>
      </c>
      <c r="J61" s="31">
        <v>349</v>
      </c>
      <c r="K61" s="31">
        <v>123</v>
      </c>
      <c r="L61" s="32" t="s">
        <v>688</v>
      </c>
      <c r="M61" s="32" t="s">
        <v>743</v>
      </c>
      <c r="N61" s="32" t="s">
        <v>777</v>
      </c>
      <c r="O61" s="25" t="s">
        <v>818</v>
      </c>
      <c r="P61" s="31" t="s">
        <v>869</v>
      </c>
      <c r="Q61" s="36">
        <f>E61</f>
        <v>60</v>
      </c>
      <c r="R61" s="36">
        <v>1</v>
      </c>
      <c r="S61" s="25"/>
      <c r="T61" s="25">
        <v>5</v>
      </c>
      <c r="U61" s="25" t="s">
        <v>250</v>
      </c>
      <c r="V61" s="25"/>
      <c r="W61" s="25" t="s">
        <v>126</v>
      </c>
      <c r="X61" s="25"/>
      <c r="Y61" s="25"/>
      <c r="Z61" s="25" t="s">
        <v>124</v>
      </c>
      <c r="AB61" s="23" t="str">
        <f>CONCATENATE(CI_!$AE$1,E61,", '",F61,"', '",G61,"' , '",H61,"' , ",I61,",",J61," , ",K61,", '",L61,"', '",M61,"' ,'",N61,"' , '",O61,"' , '",P61,"' , '",Q61,"' , '",R61,"','",S61,"','",T61,"','",U61,"','",V61,"','",W61,"','",X61,"','",Y61,"','",Z61,"'")</f>
        <v>EXECUTE [dbo].[PG_CI_ARCUSFIL_SQL] 0, 0, 0, 60, 'YANFENG AUTOMOTIVE INTER S. (THAILAND)', 'YANFENG AUTOMOTIVE INTER S. (THAILAND)' , 'YANG04' , 300,349 , 123, 'CHONBURI', '700/20 WHA EASTERN SEABOARD INDUSTRIAL' ,'1 MOO 7 TAMBOL KAOKANSONG,AMPHUR SRIRACH' , '700/20' , '2021-01-11' , '60' , '1','','5','MFUEX','','USD','','','N'</v>
      </c>
      <c r="AC61" s="11"/>
    </row>
    <row r="62" spans="1:31" s="10" customFormat="1" x14ac:dyDescent="0.25">
      <c r="A62" s="3"/>
      <c r="B62" s="7" t="s">
        <v>7</v>
      </c>
      <c r="C62" s="7" t="s">
        <v>7</v>
      </c>
      <c r="D62" s="7" t="s">
        <v>7</v>
      </c>
      <c r="E62" s="14" t="s">
        <v>7</v>
      </c>
      <c r="F62" s="8" t="s">
        <v>7</v>
      </c>
      <c r="G62" s="8" t="s">
        <v>7</v>
      </c>
      <c r="H62" s="24" t="s">
        <v>7</v>
      </c>
      <c r="I62" s="14" t="s">
        <v>7</v>
      </c>
      <c r="J62" s="14" t="s">
        <v>7</v>
      </c>
      <c r="K62" s="14" t="s">
        <v>7</v>
      </c>
      <c r="L62" s="24" t="s">
        <v>7</v>
      </c>
      <c r="M62" s="24"/>
      <c r="N62" s="24"/>
      <c r="O62" s="34"/>
      <c r="P62" s="1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1"/>
      <c r="AB62" s="23" t="str">
        <f>CONCATENATE(CI_!$AE$1,E62,", '",F62,"', '",G62,"' , '",H62,"' , ",I62,",",J62," , ",K62,", '",L62,"', '",M62,"' ,'",N62,"' , '",O62,"' , '",P62,"' , '",Q62,"' , '",R62,"','",S62,"','",T62,"','",U62,"','",V62,"','",W62,"','",X62,"','",Y62,"','",Z62,"'")</f>
        <v>EXECUTE [dbo].[PG_CI_ARCUSFIL_SQL] 0, 0, 0, -, '-', '-' , '-' , -,- , -, '-', '' ,'' , '' , '' , '' , '','','','','','','','',''</v>
      </c>
      <c r="AD62" s="6"/>
      <c r="AE62" s="1"/>
    </row>
    <row r="63" spans="1:31" s="10" customFormat="1" ht="12" x14ac:dyDescent="0.25">
      <c r="A63" s="19"/>
      <c r="B63" s="20"/>
      <c r="C63" s="20"/>
      <c r="D63" s="20"/>
      <c r="O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31" s="10" customFormat="1" ht="12" x14ac:dyDescent="0.25">
      <c r="A64" s="19"/>
      <c r="B64" s="20"/>
      <c r="C64" s="20"/>
      <c r="D64" s="20"/>
      <c r="O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9" s="10" customFormat="1" ht="12" x14ac:dyDescent="0.25">
      <c r="A65" s="19"/>
      <c r="B65" s="20"/>
      <c r="C65" s="20"/>
      <c r="D65" s="20"/>
      <c r="O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9" s="10" customFormat="1" ht="12" x14ac:dyDescent="0.25">
      <c r="A66" s="19"/>
      <c r="B66" s="20"/>
      <c r="C66" s="20"/>
      <c r="D66" s="20"/>
      <c r="O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9" s="10" customFormat="1" x14ac:dyDescent="0.25">
      <c r="A67" s="19"/>
      <c r="B67" s="20"/>
      <c r="C67" s="20"/>
      <c r="D67" s="20"/>
      <c r="E67" s="27"/>
      <c r="F67" s="21"/>
      <c r="G67" s="22"/>
      <c r="H67" s="25"/>
      <c r="I67" s="31"/>
      <c r="J67" s="31"/>
      <c r="K67" s="31"/>
      <c r="L67" s="25"/>
      <c r="M67" s="25"/>
      <c r="N67" s="25"/>
      <c r="O67" s="25"/>
      <c r="P67" s="31"/>
      <c r="Q67" s="25"/>
      <c r="R67" s="25"/>
      <c r="S67" s="25"/>
      <c r="T67" s="25"/>
      <c r="U67" s="25"/>
      <c r="V67" s="25"/>
      <c r="W67" s="25"/>
      <c r="X67" s="25"/>
      <c r="Y67" s="25"/>
      <c r="Z67" s="25"/>
      <c r="AB67" s="23"/>
      <c r="AC67" s="11"/>
    </row>
    <row r="68" spans="1:29" s="10" customFormat="1" x14ac:dyDescent="0.25">
      <c r="A68" s="19"/>
      <c r="B68" s="20"/>
      <c r="C68" s="20"/>
      <c r="D68" s="20"/>
      <c r="E68" s="27"/>
      <c r="F68" s="21"/>
      <c r="G68" s="22"/>
      <c r="H68" s="25"/>
      <c r="I68" s="31"/>
      <c r="J68" s="31"/>
      <c r="K68" s="31"/>
      <c r="L68" s="25"/>
      <c r="M68" s="25"/>
      <c r="N68" s="25"/>
      <c r="O68" s="25"/>
      <c r="P68" s="31"/>
      <c r="Q68" s="25"/>
      <c r="R68" s="25"/>
      <c r="S68" s="25"/>
      <c r="T68" s="25"/>
      <c r="U68" s="25"/>
      <c r="V68" s="25"/>
      <c r="W68" s="25"/>
      <c r="X68" s="25"/>
      <c r="Y68" s="25"/>
      <c r="Z68" s="25"/>
      <c r="AB68" s="23"/>
      <c r="AC68" s="11"/>
    </row>
    <row r="69" spans="1:29" s="10" customFormat="1" x14ac:dyDescent="0.25">
      <c r="A69" s="19"/>
      <c r="B69" s="20"/>
      <c r="C69" s="20"/>
      <c r="D69" s="20"/>
      <c r="E69" s="27"/>
      <c r="F69" s="21"/>
      <c r="G69" s="22"/>
      <c r="H69" s="25"/>
      <c r="I69" s="31"/>
      <c r="J69" s="31"/>
      <c r="K69" s="31"/>
      <c r="L69" s="25"/>
      <c r="M69" s="25"/>
      <c r="N69" s="25"/>
      <c r="O69" s="25"/>
      <c r="P69" s="31"/>
      <c r="Q69" s="25"/>
      <c r="R69" s="25"/>
      <c r="S69" s="25"/>
      <c r="T69" s="25"/>
      <c r="U69" s="25"/>
      <c r="V69" s="25"/>
      <c r="W69" s="25"/>
      <c r="X69" s="25"/>
      <c r="Y69" s="25"/>
      <c r="Z69" s="25"/>
      <c r="AB69" s="23"/>
      <c r="AC69" s="11"/>
    </row>
    <row r="70" spans="1:29" s="10" customFormat="1" x14ac:dyDescent="0.25">
      <c r="A70" s="19"/>
      <c r="B70" s="20"/>
      <c r="C70" s="20"/>
      <c r="D70" s="20"/>
      <c r="E70" s="27"/>
      <c r="F70" s="21"/>
      <c r="G70" s="22"/>
      <c r="H70" s="25"/>
      <c r="I70" s="31"/>
      <c r="J70" s="31"/>
      <c r="K70" s="31"/>
      <c r="L70" s="25"/>
      <c r="M70" s="25"/>
      <c r="N70" s="25"/>
      <c r="O70" s="25"/>
      <c r="P70" s="31"/>
      <c r="Q70" s="25"/>
      <c r="R70" s="25"/>
      <c r="S70" s="25"/>
      <c r="T70" s="25"/>
      <c r="U70" s="25"/>
      <c r="V70" s="25"/>
      <c r="W70" s="25"/>
      <c r="X70" s="25"/>
      <c r="Y70" s="25"/>
      <c r="Z70" s="25"/>
      <c r="AB70" s="23"/>
      <c r="AC70" s="11"/>
    </row>
    <row r="71" spans="1:29" s="10" customFormat="1" x14ac:dyDescent="0.25">
      <c r="A71" s="19"/>
      <c r="B71" s="20"/>
      <c r="C71" s="20"/>
      <c r="D71" s="20"/>
      <c r="E71" s="27"/>
      <c r="F71" s="21"/>
      <c r="G71" s="22"/>
      <c r="H71" s="25"/>
      <c r="I71" s="31"/>
      <c r="J71" s="31"/>
      <c r="K71" s="31"/>
      <c r="L71" s="25"/>
      <c r="M71" s="25"/>
      <c r="N71" s="25"/>
      <c r="O71" s="25"/>
      <c r="P71" s="31"/>
      <c r="Q71" s="25"/>
      <c r="R71" s="25"/>
      <c r="S71" s="25"/>
      <c r="T71" s="25"/>
      <c r="U71" s="25"/>
      <c r="V71" s="25"/>
      <c r="W71" s="25"/>
      <c r="X71" s="25"/>
      <c r="Y71" s="25"/>
      <c r="Z71" s="25"/>
      <c r="AB71" s="23"/>
      <c r="AC71" s="11"/>
    </row>
    <row r="72" spans="1:29" s="10" customFormat="1" x14ac:dyDescent="0.25">
      <c r="A72" s="19"/>
      <c r="B72" s="20"/>
      <c r="C72" s="20"/>
      <c r="D72" s="20"/>
      <c r="E72" s="27"/>
      <c r="F72" s="21"/>
      <c r="G72" s="22"/>
      <c r="H72" s="25"/>
      <c r="I72" s="31"/>
      <c r="J72" s="31"/>
      <c r="K72" s="31"/>
      <c r="L72" s="25"/>
      <c r="M72" s="25"/>
      <c r="N72" s="25"/>
      <c r="O72" s="25"/>
      <c r="P72" s="31"/>
      <c r="Q72" s="25"/>
      <c r="R72" s="25"/>
      <c r="S72" s="25"/>
      <c r="T72" s="25"/>
      <c r="U72" s="25"/>
      <c r="V72" s="25"/>
      <c r="W72" s="25"/>
      <c r="X72" s="25"/>
      <c r="Y72" s="25"/>
      <c r="Z72" s="25"/>
      <c r="AB72" s="23"/>
      <c r="AC72" s="11"/>
    </row>
    <row r="73" spans="1:29" s="10" customFormat="1" x14ac:dyDescent="0.25">
      <c r="A73" s="19"/>
      <c r="B73" s="20"/>
      <c r="C73" s="20"/>
      <c r="D73" s="20"/>
      <c r="E73" s="27"/>
      <c r="F73" s="21"/>
      <c r="G73" s="22"/>
      <c r="H73" s="25"/>
      <c r="I73" s="31"/>
      <c r="J73" s="31"/>
      <c r="K73" s="31"/>
      <c r="L73" s="25"/>
      <c r="M73" s="25"/>
      <c r="N73" s="25"/>
      <c r="O73" s="25"/>
      <c r="P73" s="31"/>
      <c r="Q73" s="25"/>
      <c r="R73" s="25"/>
      <c r="S73" s="25"/>
      <c r="T73" s="25"/>
      <c r="U73" s="25"/>
      <c r="V73" s="25"/>
      <c r="W73" s="25"/>
      <c r="X73" s="25"/>
      <c r="Y73" s="25"/>
      <c r="Z73" s="25"/>
      <c r="AB73" s="23"/>
      <c r="AC73" s="11"/>
    </row>
    <row r="74" spans="1:29" s="10" customFormat="1" x14ac:dyDescent="0.25">
      <c r="A74" s="19"/>
      <c r="B74" s="20"/>
      <c r="C74" s="20"/>
      <c r="D74" s="20"/>
      <c r="E74" s="27"/>
      <c r="F74" s="21"/>
      <c r="G74" s="22"/>
      <c r="H74" s="25"/>
      <c r="I74" s="31"/>
      <c r="J74" s="31"/>
      <c r="K74" s="31"/>
      <c r="L74" s="25"/>
      <c r="M74" s="25"/>
      <c r="N74" s="25"/>
      <c r="O74" s="25"/>
      <c r="P74" s="31"/>
      <c r="Q74" s="25"/>
      <c r="R74" s="25"/>
      <c r="S74" s="25"/>
      <c r="T74" s="25"/>
      <c r="U74" s="25"/>
      <c r="V74" s="25"/>
      <c r="W74" s="25"/>
      <c r="X74" s="25"/>
      <c r="Y74" s="25"/>
      <c r="Z74" s="25"/>
      <c r="AB74" s="23"/>
      <c r="AC74" s="11"/>
    </row>
    <row r="75" spans="1:29" s="10" customFormat="1" x14ac:dyDescent="0.25">
      <c r="A75" s="19"/>
      <c r="B75" s="20"/>
      <c r="C75" s="20"/>
      <c r="D75" s="20"/>
      <c r="E75" s="27"/>
      <c r="F75" s="21"/>
      <c r="G75" s="22"/>
      <c r="H75" s="25"/>
      <c r="I75" s="31"/>
      <c r="J75" s="31"/>
      <c r="K75" s="31"/>
      <c r="L75" s="25"/>
      <c r="M75" s="25"/>
      <c r="N75" s="25"/>
      <c r="O75" s="25"/>
      <c r="P75" s="31"/>
      <c r="Q75" s="25"/>
      <c r="R75" s="25"/>
      <c r="S75" s="25"/>
      <c r="T75" s="25"/>
      <c r="U75" s="25"/>
      <c r="V75" s="25"/>
      <c r="W75" s="25"/>
      <c r="X75" s="25"/>
      <c r="Y75" s="25"/>
      <c r="Z75" s="25"/>
      <c r="AB75" s="23"/>
      <c r="AC75" s="11"/>
    </row>
    <row r="76" spans="1:29" s="10" customFormat="1" x14ac:dyDescent="0.25">
      <c r="A76" s="19"/>
      <c r="B76" s="20"/>
      <c r="C76" s="20"/>
      <c r="D76" s="20"/>
      <c r="E76" s="27"/>
      <c r="F76" s="21"/>
      <c r="G76" s="22"/>
      <c r="H76" s="25"/>
      <c r="I76" s="31"/>
      <c r="J76" s="31"/>
      <c r="K76" s="31"/>
      <c r="L76" s="25"/>
      <c r="M76" s="25"/>
      <c r="N76" s="25"/>
      <c r="O76" s="25"/>
      <c r="P76" s="31"/>
      <c r="Q76" s="25"/>
      <c r="R76" s="25"/>
      <c r="S76" s="25"/>
      <c r="T76" s="25"/>
      <c r="U76" s="25"/>
      <c r="V76" s="25"/>
      <c r="W76" s="25"/>
      <c r="X76" s="25"/>
      <c r="Y76" s="25"/>
      <c r="Z76" s="25"/>
      <c r="AB76" s="23"/>
      <c r="AC76" s="11"/>
    </row>
    <row r="77" spans="1:29" s="10" customFormat="1" x14ac:dyDescent="0.25">
      <c r="A77" s="19"/>
      <c r="B77" s="20"/>
      <c r="C77" s="20"/>
      <c r="D77" s="20"/>
      <c r="E77" s="27"/>
      <c r="F77" s="21"/>
      <c r="G77" s="22"/>
      <c r="H77" s="25"/>
      <c r="I77" s="31"/>
      <c r="J77" s="31"/>
      <c r="K77" s="31"/>
      <c r="L77" s="25"/>
      <c r="M77" s="25"/>
      <c r="N77" s="25"/>
      <c r="O77" s="25"/>
      <c r="P77" s="31"/>
      <c r="Q77" s="25"/>
      <c r="R77" s="25"/>
      <c r="S77" s="25"/>
      <c r="T77" s="25"/>
      <c r="U77" s="25"/>
      <c r="V77" s="25"/>
      <c r="W77" s="25"/>
      <c r="X77" s="25"/>
      <c r="Y77" s="25"/>
      <c r="Z77" s="25"/>
      <c r="AB77" s="23"/>
      <c r="AC77" s="11"/>
    </row>
    <row r="78" spans="1:29" s="10" customFormat="1" x14ac:dyDescent="0.25">
      <c r="A78" s="19"/>
      <c r="B78" s="20"/>
      <c r="C78" s="20"/>
      <c r="D78" s="20"/>
      <c r="E78" s="27"/>
      <c r="F78" s="21"/>
      <c r="G78" s="22"/>
      <c r="H78" s="25"/>
      <c r="I78" s="31"/>
      <c r="J78" s="31"/>
      <c r="K78" s="31"/>
      <c r="L78" s="25"/>
      <c r="M78" s="25"/>
      <c r="N78" s="25"/>
      <c r="O78" s="25"/>
      <c r="P78" s="31"/>
      <c r="Q78" s="25"/>
      <c r="R78" s="25"/>
      <c r="S78" s="25"/>
      <c r="T78" s="25"/>
      <c r="U78" s="25"/>
      <c r="V78" s="25"/>
      <c r="W78" s="25"/>
      <c r="X78" s="25"/>
      <c r="Y78" s="25"/>
      <c r="Z78" s="25"/>
      <c r="AB78" s="23"/>
      <c r="AC78" s="11"/>
    </row>
    <row r="79" spans="1:29" s="10" customFormat="1" x14ac:dyDescent="0.25">
      <c r="A79" s="19"/>
      <c r="B79" s="20"/>
      <c r="C79" s="20"/>
      <c r="D79" s="20"/>
      <c r="E79" s="27"/>
      <c r="F79" s="21"/>
      <c r="G79" s="22"/>
      <c r="H79" s="25"/>
      <c r="I79" s="31"/>
      <c r="J79" s="31"/>
      <c r="K79" s="31"/>
      <c r="L79" s="25"/>
      <c r="M79" s="25"/>
      <c r="N79" s="25"/>
      <c r="O79" s="25"/>
      <c r="P79" s="31"/>
      <c r="Q79" s="25"/>
      <c r="R79" s="25"/>
      <c r="S79" s="25"/>
      <c r="T79" s="25"/>
      <c r="U79" s="25"/>
      <c r="V79" s="25"/>
      <c r="W79" s="25"/>
      <c r="X79" s="25"/>
      <c r="Y79" s="25"/>
      <c r="Z79" s="25"/>
      <c r="AB79" s="23"/>
      <c r="AC79" s="11"/>
    </row>
    <row r="80" spans="1:29" s="10" customFormat="1" x14ac:dyDescent="0.25">
      <c r="A80" s="19"/>
      <c r="B80" s="20"/>
      <c r="C80" s="20"/>
      <c r="D80" s="20"/>
      <c r="E80" s="27"/>
      <c r="F80" s="21"/>
      <c r="G80" s="22"/>
      <c r="H80" s="25"/>
      <c r="I80" s="31"/>
      <c r="J80" s="31"/>
      <c r="K80" s="31"/>
      <c r="L80" s="25"/>
      <c r="M80" s="25"/>
      <c r="N80" s="25"/>
      <c r="O80" s="25"/>
      <c r="P80" s="31"/>
      <c r="Q80" s="25"/>
      <c r="R80" s="25"/>
      <c r="S80" s="25"/>
      <c r="T80" s="25"/>
      <c r="U80" s="25"/>
      <c r="V80" s="25"/>
      <c r="W80" s="25"/>
      <c r="X80" s="25"/>
      <c r="Y80" s="25"/>
      <c r="Z80" s="25"/>
      <c r="AB80" s="23"/>
      <c r="AC80" s="11"/>
    </row>
    <row r="81" spans="1:29" s="10" customFormat="1" x14ac:dyDescent="0.25">
      <c r="A81" s="19"/>
      <c r="B81" s="20"/>
      <c r="C81" s="20"/>
      <c r="D81" s="20"/>
      <c r="E81" s="27"/>
      <c r="F81" s="21"/>
      <c r="G81" s="22"/>
      <c r="H81" s="25"/>
      <c r="I81" s="31"/>
      <c r="J81" s="31"/>
      <c r="K81" s="31"/>
      <c r="L81" s="25"/>
      <c r="M81" s="25"/>
      <c r="N81" s="25"/>
      <c r="O81" s="25"/>
      <c r="P81" s="31"/>
      <c r="Q81" s="25"/>
      <c r="R81" s="25"/>
      <c r="S81" s="25"/>
      <c r="T81" s="25"/>
      <c r="U81" s="25"/>
      <c r="V81" s="25"/>
      <c r="W81" s="25"/>
      <c r="X81" s="25"/>
      <c r="Y81" s="25"/>
      <c r="Z81" s="25"/>
      <c r="AB81" s="23"/>
      <c r="AC81" s="11"/>
    </row>
    <row r="82" spans="1:29" s="10" customFormat="1" x14ac:dyDescent="0.25">
      <c r="A82" s="19"/>
      <c r="B82" s="20"/>
      <c r="C82" s="20"/>
      <c r="D82" s="20"/>
      <c r="E82" s="27"/>
      <c r="F82" s="21"/>
      <c r="G82" s="22"/>
      <c r="H82" s="25"/>
      <c r="I82" s="31"/>
      <c r="J82" s="31"/>
      <c r="K82" s="31"/>
      <c r="L82" s="25"/>
      <c r="M82" s="25"/>
      <c r="N82" s="25"/>
      <c r="O82" s="25"/>
      <c r="P82" s="31"/>
      <c r="Q82" s="25"/>
      <c r="R82" s="25"/>
      <c r="S82" s="25"/>
      <c r="T82" s="25"/>
      <c r="U82" s="25"/>
      <c r="V82" s="25"/>
      <c r="W82" s="25"/>
      <c r="X82" s="25"/>
      <c r="Y82" s="25"/>
      <c r="Z82" s="25"/>
      <c r="AB82" s="23"/>
      <c r="AC82" s="11"/>
    </row>
    <row r="83" spans="1:29" s="10" customFormat="1" x14ac:dyDescent="0.25">
      <c r="A83" s="19"/>
      <c r="B83" s="20"/>
      <c r="C83" s="20"/>
      <c r="D83" s="20"/>
      <c r="E83" s="27"/>
      <c r="F83" s="21"/>
      <c r="G83" s="22"/>
      <c r="H83" s="25"/>
      <c r="I83" s="31"/>
      <c r="J83" s="31"/>
      <c r="K83" s="31"/>
      <c r="L83" s="25"/>
      <c r="M83" s="25"/>
      <c r="N83" s="25"/>
      <c r="O83" s="25"/>
      <c r="P83" s="31"/>
      <c r="Q83" s="25"/>
      <c r="R83" s="25"/>
      <c r="S83" s="25"/>
      <c r="T83" s="25"/>
      <c r="U83" s="25"/>
      <c r="V83" s="25"/>
      <c r="W83" s="25"/>
      <c r="X83" s="25"/>
      <c r="Y83" s="25"/>
      <c r="Z83" s="25"/>
      <c r="AB83" s="23"/>
      <c r="AC83" s="11"/>
    </row>
    <row r="84" spans="1:29" s="10" customFormat="1" x14ac:dyDescent="0.25">
      <c r="A84" s="19"/>
      <c r="B84" s="20"/>
      <c r="C84" s="20"/>
      <c r="D84" s="20"/>
      <c r="E84" s="27"/>
      <c r="F84" s="21"/>
      <c r="G84" s="22"/>
      <c r="H84" s="25"/>
      <c r="I84" s="31"/>
      <c r="J84" s="31"/>
      <c r="K84" s="31"/>
      <c r="L84" s="25"/>
      <c r="M84" s="25"/>
      <c r="N84" s="25"/>
      <c r="O84" s="25"/>
      <c r="P84" s="31"/>
      <c r="Q84" s="25"/>
      <c r="R84" s="25"/>
      <c r="S84" s="25"/>
      <c r="T84" s="25"/>
      <c r="U84" s="25"/>
      <c r="V84" s="25"/>
      <c r="W84" s="25"/>
      <c r="X84" s="25"/>
      <c r="Y84" s="25"/>
      <c r="Z84" s="25"/>
      <c r="AB84" s="23"/>
      <c r="AC84" s="11"/>
    </row>
    <row r="85" spans="1:29" s="10" customFormat="1" x14ac:dyDescent="0.25">
      <c r="A85" s="19"/>
      <c r="B85" s="20"/>
      <c r="C85" s="20"/>
      <c r="D85" s="20"/>
      <c r="E85" s="27"/>
      <c r="F85" s="21"/>
      <c r="G85" s="22"/>
      <c r="H85" s="25"/>
      <c r="I85" s="31"/>
      <c r="J85" s="31"/>
      <c r="K85" s="31"/>
      <c r="L85" s="25"/>
      <c r="M85" s="25"/>
      <c r="N85" s="25"/>
      <c r="O85" s="25"/>
      <c r="P85" s="31"/>
      <c r="Q85" s="25"/>
      <c r="R85" s="25"/>
      <c r="S85" s="25"/>
      <c r="T85" s="25"/>
      <c r="U85" s="25"/>
      <c r="V85" s="25"/>
      <c r="W85" s="25"/>
      <c r="X85" s="25"/>
      <c r="Y85" s="25"/>
      <c r="Z85" s="25"/>
      <c r="AB85" s="23"/>
      <c r="AC85" s="11"/>
    </row>
    <row r="86" spans="1:29" s="10" customFormat="1" x14ac:dyDescent="0.25">
      <c r="A86" s="19"/>
      <c r="B86" s="20"/>
      <c r="C86" s="20"/>
      <c r="D86" s="20"/>
      <c r="E86" s="27"/>
      <c r="F86" s="21"/>
      <c r="G86" s="22"/>
      <c r="H86" s="25"/>
      <c r="I86" s="31"/>
      <c r="J86" s="31"/>
      <c r="K86" s="31"/>
      <c r="L86" s="25"/>
      <c r="M86" s="25"/>
      <c r="N86" s="25"/>
      <c r="O86" s="25"/>
      <c r="P86" s="31"/>
      <c r="Q86" s="25"/>
      <c r="R86" s="25"/>
      <c r="S86" s="25"/>
      <c r="T86" s="25"/>
      <c r="U86" s="25"/>
      <c r="V86" s="25"/>
      <c r="W86" s="25"/>
      <c r="X86" s="25"/>
      <c r="Y86" s="25"/>
      <c r="Z86" s="25"/>
      <c r="AB86" s="23"/>
      <c r="AC86" s="11"/>
    </row>
    <row r="87" spans="1:29" s="10" customFormat="1" x14ac:dyDescent="0.25">
      <c r="A87" s="19"/>
      <c r="B87" s="20"/>
      <c r="C87" s="20"/>
      <c r="D87" s="20"/>
      <c r="E87" s="27"/>
      <c r="F87" s="21"/>
      <c r="G87" s="22"/>
      <c r="H87" s="25"/>
      <c r="I87" s="31"/>
      <c r="J87" s="31"/>
      <c r="K87" s="31"/>
      <c r="L87" s="25"/>
      <c r="M87" s="25"/>
      <c r="N87" s="25"/>
      <c r="O87" s="25"/>
      <c r="P87" s="31"/>
      <c r="Q87" s="25"/>
      <c r="R87" s="25"/>
      <c r="S87" s="25"/>
      <c r="T87" s="25"/>
      <c r="U87" s="25"/>
      <c r="V87" s="25"/>
      <c r="W87" s="25"/>
      <c r="X87" s="25"/>
      <c r="Y87" s="25"/>
      <c r="Z87" s="25"/>
      <c r="AB87" s="23"/>
      <c r="AC87" s="11"/>
    </row>
    <row r="88" spans="1:29" s="10" customFormat="1" x14ac:dyDescent="0.25">
      <c r="A88" s="19"/>
      <c r="B88" s="20"/>
      <c r="C88" s="20"/>
      <c r="D88" s="20"/>
      <c r="E88" s="27"/>
      <c r="F88" s="21"/>
      <c r="G88" s="22"/>
      <c r="H88" s="25"/>
      <c r="I88" s="31"/>
      <c r="J88" s="31"/>
      <c r="K88" s="31"/>
      <c r="L88" s="25"/>
      <c r="M88" s="25"/>
      <c r="N88" s="25"/>
      <c r="O88" s="25"/>
      <c r="P88" s="31"/>
      <c r="Q88" s="25"/>
      <c r="R88" s="25"/>
      <c r="S88" s="25"/>
      <c r="T88" s="25"/>
      <c r="U88" s="25"/>
      <c r="V88" s="25"/>
      <c r="W88" s="25"/>
      <c r="X88" s="25"/>
      <c r="Y88" s="25"/>
      <c r="Z88" s="25"/>
      <c r="AB88" s="23"/>
      <c r="AC88" s="11"/>
    </row>
    <row r="89" spans="1:29" s="10" customFormat="1" x14ac:dyDescent="0.25">
      <c r="A89" s="19"/>
      <c r="B89" s="20"/>
      <c r="C89" s="20"/>
      <c r="D89" s="20"/>
      <c r="E89" s="27"/>
      <c r="F89" s="21"/>
      <c r="G89" s="22"/>
      <c r="H89" s="25"/>
      <c r="I89" s="31"/>
      <c r="J89" s="31"/>
      <c r="K89" s="31"/>
      <c r="L89" s="25"/>
      <c r="M89" s="25"/>
      <c r="N89" s="25"/>
      <c r="O89" s="25"/>
      <c r="P89" s="31"/>
      <c r="Q89" s="25"/>
      <c r="R89" s="25"/>
      <c r="S89" s="25"/>
      <c r="T89" s="25"/>
      <c r="U89" s="25"/>
      <c r="V89" s="25"/>
      <c r="W89" s="25"/>
      <c r="X89" s="25"/>
      <c r="Y89" s="25"/>
      <c r="Z89" s="25"/>
      <c r="AB89" s="23"/>
      <c r="AC89" s="11"/>
    </row>
    <row r="90" spans="1:29" s="10" customFormat="1" x14ac:dyDescent="0.25">
      <c r="A90" s="19"/>
      <c r="B90" s="20"/>
      <c r="C90" s="20"/>
      <c r="D90" s="20"/>
      <c r="E90" s="27"/>
      <c r="F90" s="21"/>
      <c r="G90" s="22"/>
      <c r="H90" s="25"/>
      <c r="I90" s="31"/>
      <c r="J90" s="31"/>
      <c r="K90" s="31"/>
      <c r="L90" s="25"/>
      <c r="M90" s="25"/>
      <c r="N90" s="25"/>
      <c r="O90" s="25"/>
      <c r="P90" s="31"/>
      <c r="Q90" s="25"/>
      <c r="R90" s="25"/>
      <c r="S90" s="25"/>
      <c r="T90" s="25"/>
      <c r="U90" s="25"/>
      <c r="V90" s="25"/>
      <c r="W90" s="25"/>
      <c r="X90" s="25"/>
      <c r="Y90" s="25"/>
      <c r="Z90" s="25"/>
      <c r="AB90" s="23"/>
      <c r="AC90" s="11"/>
    </row>
    <row r="91" spans="1:29" s="10" customFormat="1" x14ac:dyDescent="0.25">
      <c r="A91" s="19"/>
      <c r="B91" s="20"/>
      <c r="C91" s="20"/>
      <c r="D91" s="20"/>
      <c r="E91" s="27"/>
      <c r="F91" s="21"/>
      <c r="G91" s="22"/>
      <c r="H91" s="25"/>
      <c r="I91" s="31"/>
      <c r="J91" s="31"/>
      <c r="K91" s="31"/>
      <c r="L91" s="25"/>
      <c r="M91" s="25"/>
      <c r="N91" s="25"/>
      <c r="O91" s="25"/>
      <c r="P91" s="31"/>
      <c r="Q91" s="25"/>
      <c r="R91" s="25"/>
      <c r="S91" s="25"/>
      <c r="T91" s="25"/>
      <c r="U91" s="25"/>
      <c r="V91" s="25"/>
      <c r="W91" s="25"/>
      <c r="X91" s="25"/>
      <c r="Y91" s="25"/>
      <c r="Z91" s="25"/>
      <c r="AB91" s="23"/>
      <c r="AC91" s="11"/>
    </row>
    <row r="92" spans="1:29" s="10" customFormat="1" x14ac:dyDescent="0.25">
      <c r="A92" s="19"/>
      <c r="B92" s="20"/>
      <c r="C92" s="20"/>
      <c r="D92" s="20"/>
      <c r="E92" s="27"/>
      <c r="F92" s="21"/>
      <c r="G92" s="22"/>
      <c r="H92" s="25"/>
      <c r="I92" s="31"/>
      <c r="J92" s="31"/>
      <c r="K92" s="31"/>
      <c r="L92" s="25"/>
      <c r="M92" s="25"/>
      <c r="N92" s="25"/>
      <c r="O92" s="25"/>
      <c r="P92" s="31"/>
      <c r="Q92" s="25"/>
      <c r="R92" s="25"/>
      <c r="S92" s="25"/>
      <c r="T92" s="25"/>
      <c r="U92" s="25"/>
      <c r="V92" s="25"/>
      <c r="W92" s="25"/>
      <c r="X92" s="25"/>
      <c r="Y92" s="25"/>
      <c r="Z92" s="25"/>
      <c r="AB92" s="23"/>
      <c r="AC92" s="11"/>
    </row>
    <row r="93" spans="1:29" s="10" customFormat="1" x14ac:dyDescent="0.25">
      <c r="A93" s="19"/>
      <c r="B93" s="20"/>
      <c r="C93" s="20"/>
      <c r="D93" s="20"/>
      <c r="E93" s="27"/>
      <c r="F93" s="21"/>
      <c r="G93" s="22"/>
      <c r="H93" s="25"/>
      <c r="I93" s="31"/>
      <c r="J93" s="31"/>
      <c r="K93" s="31"/>
      <c r="L93" s="25"/>
      <c r="M93" s="25"/>
      <c r="N93" s="25"/>
      <c r="O93" s="25"/>
      <c r="P93" s="31"/>
      <c r="Q93" s="25"/>
      <c r="R93" s="25"/>
      <c r="S93" s="25"/>
      <c r="T93" s="25"/>
      <c r="U93" s="25"/>
      <c r="V93" s="25"/>
      <c r="W93" s="25"/>
      <c r="X93" s="25"/>
      <c r="Y93" s="25"/>
      <c r="Z93" s="25"/>
      <c r="AB93" s="23"/>
      <c r="AC93" s="11"/>
    </row>
    <row r="94" spans="1:29" s="10" customFormat="1" x14ac:dyDescent="0.25">
      <c r="A94" s="19"/>
      <c r="B94" s="20"/>
      <c r="C94" s="20"/>
      <c r="D94" s="20"/>
      <c r="E94" s="27"/>
      <c r="F94" s="21"/>
      <c r="G94" s="22"/>
      <c r="H94" s="25"/>
      <c r="I94" s="31"/>
      <c r="J94" s="31"/>
      <c r="K94" s="31"/>
      <c r="L94" s="25"/>
      <c r="M94" s="25"/>
      <c r="N94" s="25"/>
      <c r="O94" s="25"/>
      <c r="P94" s="31"/>
      <c r="Q94" s="25"/>
      <c r="R94" s="25"/>
      <c r="S94" s="25"/>
      <c r="T94" s="25"/>
      <c r="U94" s="25"/>
      <c r="V94" s="25"/>
      <c r="W94" s="25"/>
      <c r="X94" s="25"/>
      <c r="Y94" s="25"/>
      <c r="Z94" s="25"/>
      <c r="AB94" s="23"/>
      <c r="AC94" s="11"/>
    </row>
    <row r="95" spans="1:29" s="10" customFormat="1" x14ac:dyDescent="0.25">
      <c r="A95" s="19"/>
      <c r="B95" s="20"/>
      <c r="C95" s="20"/>
      <c r="D95" s="20"/>
      <c r="E95" s="27"/>
      <c r="F95" s="21"/>
      <c r="G95" s="22"/>
      <c r="H95" s="25"/>
      <c r="I95" s="31"/>
      <c r="J95" s="31"/>
      <c r="K95" s="31"/>
      <c r="L95" s="25"/>
      <c r="M95" s="25"/>
      <c r="N95" s="25"/>
      <c r="O95" s="25"/>
      <c r="P95" s="31"/>
      <c r="Q95" s="25"/>
      <c r="R95" s="25"/>
      <c r="S95" s="25"/>
      <c r="T95" s="25"/>
      <c r="U95" s="25"/>
      <c r="V95" s="25"/>
      <c r="W95" s="25"/>
      <c r="X95" s="25"/>
      <c r="Y95" s="25"/>
      <c r="Z95" s="25"/>
      <c r="AB95" s="23"/>
      <c r="AC95" s="11"/>
    </row>
    <row r="96" spans="1:29" s="10" customFormat="1" x14ac:dyDescent="0.25">
      <c r="A96" s="19"/>
      <c r="B96" s="20"/>
      <c r="C96" s="20"/>
      <c r="D96" s="20"/>
      <c r="E96" s="27"/>
      <c r="F96" s="21"/>
      <c r="G96" s="22"/>
      <c r="H96" s="25"/>
      <c r="I96" s="31"/>
      <c r="J96" s="31"/>
      <c r="K96" s="31"/>
      <c r="L96" s="25"/>
      <c r="M96" s="25"/>
      <c r="N96" s="25"/>
      <c r="O96" s="25"/>
      <c r="P96" s="31"/>
      <c r="Q96" s="25"/>
      <c r="R96" s="25"/>
      <c r="S96" s="25"/>
      <c r="T96" s="25"/>
      <c r="U96" s="25"/>
      <c r="V96" s="25"/>
      <c r="W96" s="25"/>
      <c r="X96" s="25"/>
      <c r="Y96" s="25"/>
      <c r="Z96" s="25"/>
      <c r="AB96" s="23"/>
      <c r="AC96" s="11"/>
    </row>
    <row r="97" spans="1:29" s="10" customFormat="1" x14ac:dyDescent="0.25">
      <c r="A97" s="19"/>
      <c r="B97" s="20"/>
      <c r="C97" s="20"/>
      <c r="D97" s="20"/>
      <c r="E97" s="27"/>
      <c r="F97" s="21"/>
      <c r="G97" s="22"/>
      <c r="H97" s="25"/>
      <c r="I97" s="31"/>
      <c r="J97" s="31"/>
      <c r="K97" s="31"/>
      <c r="L97" s="25"/>
      <c r="M97" s="25"/>
      <c r="N97" s="25"/>
      <c r="O97" s="25"/>
      <c r="P97" s="31"/>
      <c r="Q97" s="25"/>
      <c r="R97" s="25"/>
      <c r="S97" s="25"/>
      <c r="T97" s="25"/>
      <c r="U97" s="25"/>
      <c r="V97" s="25"/>
      <c r="W97" s="25"/>
      <c r="X97" s="25"/>
      <c r="Y97" s="25"/>
      <c r="Z97" s="25"/>
      <c r="AB97" s="23"/>
      <c r="AC97" s="11"/>
    </row>
    <row r="98" spans="1:29" s="10" customFormat="1" x14ac:dyDescent="0.25">
      <c r="A98" s="19"/>
      <c r="B98" s="20"/>
      <c r="C98" s="20"/>
      <c r="D98" s="20"/>
      <c r="E98" s="27"/>
      <c r="F98" s="21"/>
      <c r="G98" s="22"/>
      <c r="H98" s="25"/>
      <c r="I98" s="31"/>
      <c r="J98" s="31"/>
      <c r="K98" s="31"/>
      <c r="L98" s="25"/>
      <c r="M98" s="25"/>
      <c r="N98" s="25"/>
      <c r="O98" s="25"/>
      <c r="P98" s="31"/>
      <c r="Q98" s="25"/>
      <c r="R98" s="25"/>
      <c r="S98" s="25"/>
      <c r="T98" s="25"/>
      <c r="U98" s="25"/>
      <c r="V98" s="25"/>
      <c r="W98" s="25"/>
      <c r="X98" s="25"/>
      <c r="Y98" s="25"/>
      <c r="Z98" s="25"/>
      <c r="AB98" s="23"/>
      <c r="AC98" s="11"/>
    </row>
    <row r="99" spans="1:29" s="10" customFormat="1" x14ac:dyDescent="0.25">
      <c r="A99" s="19"/>
      <c r="B99" s="20"/>
      <c r="C99" s="20"/>
      <c r="D99" s="20"/>
      <c r="E99" s="27"/>
      <c r="F99" s="21"/>
      <c r="G99" s="22"/>
      <c r="H99" s="25"/>
      <c r="I99" s="31"/>
      <c r="J99" s="31"/>
      <c r="K99" s="31"/>
      <c r="L99" s="25"/>
      <c r="M99" s="25"/>
      <c r="N99" s="25"/>
      <c r="O99" s="25"/>
      <c r="P99" s="31"/>
      <c r="Q99" s="25"/>
      <c r="R99" s="25"/>
      <c r="S99" s="25"/>
      <c r="T99" s="25"/>
      <c r="U99" s="25"/>
      <c r="V99" s="25"/>
      <c r="W99" s="25"/>
      <c r="X99" s="25"/>
      <c r="Y99" s="25"/>
      <c r="Z99" s="25"/>
      <c r="AB99" s="23"/>
      <c r="AC99" s="11"/>
    </row>
    <row r="100" spans="1:29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1"/>
      <c r="J100" s="31"/>
      <c r="K100" s="31"/>
      <c r="L100" s="25"/>
      <c r="M100" s="25"/>
      <c r="N100" s="25"/>
      <c r="O100" s="25"/>
      <c r="P100" s="31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B100" s="23"/>
      <c r="AC100" s="11"/>
    </row>
    <row r="101" spans="1:29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1"/>
      <c r="J101" s="31"/>
      <c r="K101" s="31"/>
      <c r="L101" s="25"/>
      <c r="M101" s="25"/>
      <c r="N101" s="25"/>
      <c r="O101" s="25"/>
      <c r="P101" s="31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B101" s="23"/>
      <c r="AC101" s="11"/>
    </row>
    <row r="102" spans="1:29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1"/>
      <c r="J102" s="31"/>
      <c r="K102" s="31"/>
      <c r="L102" s="25"/>
      <c r="M102" s="25"/>
      <c r="N102" s="25"/>
      <c r="O102" s="25"/>
      <c r="P102" s="31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B102" s="23"/>
      <c r="AC102" s="11"/>
    </row>
    <row r="103" spans="1:29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1"/>
      <c r="J103" s="31"/>
      <c r="K103" s="31"/>
      <c r="L103" s="25"/>
      <c r="M103" s="25"/>
      <c r="N103" s="25"/>
      <c r="O103" s="25"/>
      <c r="P103" s="31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B103" s="23"/>
      <c r="AC103" s="11"/>
    </row>
    <row r="104" spans="1:29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1"/>
      <c r="J104" s="31"/>
      <c r="K104" s="31"/>
      <c r="L104" s="25"/>
      <c r="M104" s="25"/>
      <c r="N104" s="25"/>
      <c r="O104" s="25"/>
      <c r="P104" s="31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B104" s="23"/>
      <c r="AC104" s="11"/>
    </row>
    <row r="105" spans="1:29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1"/>
      <c r="J105" s="31"/>
      <c r="K105" s="31"/>
      <c r="L105" s="25"/>
      <c r="M105" s="25"/>
      <c r="N105" s="25"/>
      <c r="O105" s="25"/>
      <c r="P105" s="31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B105" s="23"/>
      <c r="AC105" s="11"/>
    </row>
    <row r="106" spans="1:29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1"/>
      <c r="J106" s="31"/>
      <c r="K106" s="31"/>
      <c r="L106" s="25"/>
      <c r="M106" s="25"/>
      <c r="N106" s="25"/>
      <c r="O106" s="25"/>
      <c r="P106" s="31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B106" s="23"/>
      <c r="AC106" s="11"/>
    </row>
    <row r="107" spans="1:29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1"/>
      <c r="J107" s="31"/>
      <c r="K107" s="31"/>
      <c r="L107" s="25"/>
      <c r="M107" s="25"/>
      <c r="N107" s="25"/>
      <c r="O107" s="25"/>
      <c r="P107" s="31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B107" s="23"/>
      <c r="AC107" s="11"/>
    </row>
    <row r="108" spans="1:29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1"/>
      <c r="J108" s="31"/>
      <c r="K108" s="31"/>
      <c r="L108" s="25"/>
      <c r="M108" s="25"/>
      <c r="N108" s="25"/>
      <c r="O108" s="25"/>
      <c r="P108" s="31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B108" s="23"/>
      <c r="AC108" s="11"/>
    </row>
    <row r="109" spans="1:29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1"/>
      <c r="J109" s="31"/>
      <c r="K109" s="31"/>
      <c r="L109" s="25"/>
      <c r="M109" s="25"/>
      <c r="N109" s="25"/>
      <c r="O109" s="25"/>
      <c r="P109" s="31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B109" s="23"/>
      <c r="AC109" s="11"/>
    </row>
    <row r="110" spans="1:29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1"/>
      <c r="J110" s="31"/>
      <c r="K110" s="31"/>
      <c r="L110" s="25"/>
      <c r="M110" s="25"/>
      <c r="N110" s="25"/>
      <c r="O110" s="25"/>
      <c r="P110" s="31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B110" s="23"/>
      <c r="AC110" s="11"/>
    </row>
    <row r="111" spans="1:29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1"/>
      <c r="J111" s="31"/>
      <c r="K111" s="31"/>
      <c r="L111" s="25"/>
      <c r="M111" s="25"/>
      <c r="N111" s="25"/>
      <c r="O111" s="25"/>
      <c r="P111" s="31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B111" s="23"/>
      <c r="AC111" s="11"/>
    </row>
    <row r="112" spans="1:29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1"/>
      <c r="J112" s="31"/>
      <c r="K112" s="31"/>
      <c r="L112" s="25"/>
      <c r="M112" s="25"/>
      <c r="N112" s="25"/>
      <c r="O112" s="25"/>
      <c r="P112" s="31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B112" s="23"/>
      <c r="AC112" s="11"/>
    </row>
    <row r="113" spans="1:29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1"/>
      <c r="J113" s="31"/>
      <c r="K113" s="31"/>
      <c r="L113" s="25"/>
      <c r="M113" s="25"/>
      <c r="N113" s="25"/>
      <c r="O113" s="25"/>
      <c r="P113" s="31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B113" s="23"/>
      <c r="AC113" s="11"/>
    </row>
    <row r="114" spans="1:29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1"/>
      <c r="J114" s="31"/>
      <c r="K114" s="31"/>
      <c r="L114" s="25"/>
      <c r="M114" s="25"/>
      <c r="N114" s="25"/>
      <c r="O114" s="25"/>
      <c r="P114" s="31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B114" s="23"/>
      <c r="AC114" s="11"/>
    </row>
    <row r="115" spans="1:29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1"/>
      <c r="J115" s="31"/>
      <c r="K115" s="31"/>
      <c r="L115" s="25"/>
      <c r="M115" s="25"/>
      <c r="N115" s="25"/>
      <c r="O115" s="25"/>
      <c r="P115" s="31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B115" s="23"/>
      <c r="AC115" s="11"/>
    </row>
    <row r="116" spans="1:29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1"/>
      <c r="J116" s="31"/>
      <c r="K116" s="31"/>
      <c r="L116" s="25"/>
      <c r="M116" s="25"/>
      <c r="N116" s="25"/>
      <c r="O116" s="25"/>
      <c r="P116" s="31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B116" s="23"/>
      <c r="AC116" s="11"/>
    </row>
    <row r="117" spans="1:29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1"/>
      <c r="J117" s="31"/>
      <c r="K117" s="31"/>
      <c r="L117" s="25"/>
      <c r="M117" s="25"/>
      <c r="N117" s="25"/>
      <c r="O117" s="25"/>
      <c r="P117" s="31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B117" s="23"/>
      <c r="AC117" s="11"/>
    </row>
    <row r="118" spans="1:29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1"/>
      <c r="J118" s="31"/>
      <c r="K118" s="31"/>
      <c r="L118" s="25"/>
      <c r="M118" s="25"/>
      <c r="N118" s="25"/>
      <c r="O118" s="25"/>
      <c r="P118" s="31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B118" s="23"/>
      <c r="AC118" s="11"/>
    </row>
    <row r="119" spans="1:29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1"/>
      <c r="J119" s="31"/>
      <c r="K119" s="31"/>
      <c r="L119" s="25"/>
      <c r="M119" s="25"/>
      <c r="N119" s="25"/>
      <c r="O119" s="25"/>
      <c r="P119" s="31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B119" s="23"/>
      <c r="AC119" s="11"/>
    </row>
    <row r="120" spans="1:29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1"/>
      <c r="J120" s="31"/>
      <c r="K120" s="31"/>
      <c r="L120" s="25"/>
      <c r="M120" s="25"/>
      <c r="N120" s="25"/>
      <c r="O120" s="25"/>
      <c r="P120" s="31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B120" s="23"/>
      <c r="AC120" s="11"/>
    </row>
    <row r="121" spans="1:29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1"/>
      <c r="J121" s="31"/>
      <c r="K121" s="31"/>
      <c r="L121" s="25"/>
      <c r="M121" s="25"/>
      <c r="N121" s="25"/>
      <c r="O121" s="25"/>
      <c r="P121" s="31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B121" s="23"/>
      <c r="AC121" s="11"/>
    </row>
    <row r="122" spans="1:29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1"/>
      <c r="J122" s="31"/>
      <c r="K122" s="31"/>
      <c r="L122" s="25"/>
      <c r="M122" s="25"/>
      <c r="N122" s="25"/>
      <c r="O122" s="25"/>
      <c r="P122" s="31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B122" s="23"/>
      <c r="AC122" s="11"/>
    </row>
    <row r="123" spans="1:29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1"/>
      <c r="J123" s="31"/>
      <c r="K123" s="31"/>
      <c r="L123" s="25"/>
      <c r="M123" s="25"/>
      <c r="N123" s="25"/>
      <c r="O123" s="25"/>
      <c r="P123" s="31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B123" s="23"/>
      <c r="AC123" s="11"/>
    </row>
    <row r="124" spans="1:29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1"/>
      <c r="J124" s="31"/>
      <c r="K124" s="31"/>
      <c r="L124" s="25"/>
      <c r="M124" s="25"/>
      <c r="N124" s="25"/>
      <c r="O124" s="25"/>
      <c r="P124" s="31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B124" s="23"/>
      <c r="AC124" s="11"/>
    </row>
    <row r="125" spans="1:29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1"/>
      <c r="J125" s="31"/>
      <c r="K125" s="31"/>
      <c r="L125" s="25"/>
      <c r="M125" s="25"/>
      <c r="N125" s="25"/>
      <c r="O125" s="25"/>
      <c r="P125" s="31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B125" s="23"/>
      <c r="AC125" s="11"/>
    </row>
    <row r="126" spans="1:29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1"/>
      <c r="J126" s="31"/>
      <c r="K126" s="31"/>
      <c r="L126" s="25"/>
      <c r="M126" s="25"/>
      <c r="N126" s="25"/>
      <c r="O126" s="25"/>
      <c r="P126" s="31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B126" s="23"/>
      <c r="AC126" s="11"/>
    </row>
    <row r="127" spans="1:29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1"/>
      <c r="J127" s="31"/>
      <c r="K127" s="31"/>
      <c r="L127" s="25"/>
      <c r="M127" s="25"/>
      <c r="N127" s="25"/>
      <c r="O127" s="25"/>
      <c r="P127" s="31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B127" s="23"/>
      <c r="AC127" s="11"/>
    </row>
    <row r="128" spans="1:29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1"/>
      <c r="J128" s="31"/>
      <c r="K128" s="31"/>
      <c r="L128" s="25"/>
      <c r="M128" s="25"/>
      <c r="N128" s="25"/>
      <c r="O128" s="25"/>
      <c r="P128" s="31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B128" s="23"/>
      <c r="AC128" s="11"/>
    </row>
    <row r="129" spans="1:29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1"/>
      <c r="J129" s="31"/>
      <c r="K129" s="31"/>
      <c r="L129" s="25"/>
      <c r="M129" s="25"/>
      <c r="N129" s="25"/>
      <c r="O129" s="25"/>
      <c r="P129" s="31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B129" s="23"/>
      <c r="AC129" s="11"/>
    </row>
    <row r="130" spans="1:29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1"/>
      <c r="J130" s="31"/>
      <c r="K130" s="31"/>
      <c r="L130" s="25"/>
      <c r="M130" s="25"/>
      <c r="N130" s="25"/>
      <c r="O130" s="25"/>
      <c r="P130" s="31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B130" s="23"/>
      <c r="AC130" s="11"/>
    </row>
    <row r="131" spans="1:29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1"/>
      <c r="J131" s="31"/>
      <c r="K131" s="31"/>
      <c r="L131" s="25"/>
      <c r="M131" s="25"/>
      <c r="N131" s="25"/>
      <c r="O131" s="25"/>
      <c r="P131" s="31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B131" s="23"/>
      <c r="AC131" s="11"/>
    </row>
    <row r="132" spans="1:29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1"/>
      <c r="J132" s="31"/>
      <c r="K132" s="31"/>
      <c r="L132" s="25"/>
      <c r="M132" s="25"/>
      <c r="N132" s="25"/>
      <c r="O132" s="25"/>
      <c r="P132" s="31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B132" s="23"/>
      <c r="AC132" s="11"/>
    </row>
    <row r="133" spans="1:29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1"/>
      <c r="J133" s="31"/>
      <c r="K133" s="31"/>
      <c r="L133" s="25"/>
      <c r="M133" s="25"/>
      <c r="N133" s="25"/>
      <c r="O133" s="25"/>
      <c r="P133" s="31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B133" s="23"/>
      <c r="AC133" s="11"/>
    </row>
    <row r="134" spans="1:29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1"/>
      <c r="J134" s="31"/>
      <c r="K134" s="31"/>
      <c r="L134" s="25"/>
      <c r="M134" s="25"/>
      <c r="N134" s="25"/>
      <c r="O134" s="25"/>
      <c r="P134" s="31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B134" s="23"/>
      <c r="AC134" s="11"/>
    </row>
    <row r="135" spans="1:29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31"/>
      <c r="J135" s="31"/>
      <c r="K135" s="31"/>
      <c r="L135" s="25"/>
      <c r="M135" s="25"/>
      <c r="N135" s="25"/>
      <c r="O135" s="25"/>
      <c r="P135" s="31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B135" s="23"/>
      <c r="AC135" s="11"/>
    </row>
    <row r="136" spans="1:29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31"/>
      <c r="J136" s="31"/>
      <c r="K136" s="31"/>
      <c r="L136" s="25"/>
      <c r="M136" s="25"/>
      <c r="N136" s="25"/>
      <c r="O136" s="25"/>
      <c r="P136" s="31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B136" s="23"/>
      <c r="AC136" s="11"/>
    </row>
    <row r="137" spans="1:29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31"/>
      <c r="J137" s="31"/>
      <c r="K137" s="31"/>
      <c r="L137" s="25"/>
      <c r="M137" s="25"/>
      <c r="N137" s="25"/>
      <c r="O137" s="25"/>
      <c r="P137" s="31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B137" s="23"/>
      <c r="AC137" s="11"/>
    </row>
    <row r="138" spans="1:29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31"/>
      <c r="J138" s="31"/>
      <c r="K138" s="31"/>
      <c r="L138" s="25"/>
      <c r="M138" s="25"/>
      <c r="N138" s="25"/>
      <c r="O138" s="25"/>
      <c r="P138" s="31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B138" s="23"/>
      <c r="AC138" s="11"/>
    </row>
    <row r="139" spans="1:29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31"/>
      <c r="J139" s="31"/>
      <c r="K139" s="31"/>
      <c r="L139" s="25"/>
      <c r="M139" s="25"/>
      <c r="N139" s="25"/>
      <c r="O139" s="25"/>
      <c r="P139" s="31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B139" s="23"/>
      <c r="AC139" s="11"/>
    </row>
    <row r="140" spans="1:29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31"/>
      <c r="J140" s="31"/>
      <c r="K140" s="31"/>
      <c r="L140" s="25"/>
      <c r="M140" s="25"/>
      <c r="N140" s="25"/>
      <c r="O140" s="25"/>
      <c r="P140" s="31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B140" s="23"/>
      <c r="AC140" s="11"/>
    </row>
    <row r="141" spans="1:29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31"/>
      <c r="J141" s="31"/>
      <c r="K141" s="31"/>
      <c r="L141" s="25"/>
      <c r="M141" s="25"/>
      <c r="N141" s="25"/>
      <c r="O141" s="25"/>
      <c r="P141" s="31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B141" s="23"/>
      <c r="AC141" s="11"/>
    </row>
    <row r="142" spans="1:29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31"/>
      <c r="J142" s="31"/>
      <c r="K142" s="31"/>
      <c r="L142" s="25"/>
      <c r="M142" s="25"/>
      <c r="N142" s="25"/>
      <c r="O142" s="25"/>
      <c r="P142" s="31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B142" s="23"/>
      <c r="AC142" s="11"/>
    </row>
    <row r="143" spans="1:29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31"/>
      <c r="J143" s="31"/>
      <c r="K143" s="31"/>
      <c r="L143" s="25"/>
      <c r="M143" s="25"/>
      <c r="N143" s="25"/>
      <c r="O143" s="25"/>
      <c r="P143" s="31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B143" s="23"/>
      <c r="AC143" s="11"/>
    </row>
    <row r="144" spans="1:29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31"/>
      <c r="J144" s="31"/>
      <c r="K144" s="31"/>
      <c r="L144" s="25"/>
      <c r="M144" s="25"/>
      <c r="N144" s="25"/>
      <c r="O144" s="25"/>
      <c r="P144" s="31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B144" s="23"/>
      <c r="AC144" s="11"/>
    </row>
    <row r="145" spans="1:29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31"/>
      <c r="J145" s="31"/>
      <c r="K145" s="31"/>
      <c r="L145" s="25"/>
      <c r="M145" s="25"/>
      <c r="N145" s="25"/>
      <c r="O145" s="25"/>
      <c r="P145" s="31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B145" s="23"/>
      <c r="AC145" s="11"/>
    </row>
    <row r="146" spans="1:29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31"/>
      <c r="J146" s="31"/>
      <c r="K146" s="31"/>
      <c r="L146" s="25"/>
      <c r="M146" s="25"/>
      <c r="N146" s="25"/>
      <c r="O146" s="25"/>
      <c r="P146" s="31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B146" s="23"/>
      <c r="AC146" s="11"/>
    </row>
    <row r="147" spans="1:29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31"/>
      <c r="J147" s="31"/>
      <c r="K147" s="31"/>
      <c r="L147" s="25"/>
      <c r="M147" s="25"/>
      <c r="N147" s="25"/>
      <c r="O147" s="25"/>
      <c r="P147" s="31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B147" s="23"/>
      <c r="AC147" s="11"/>
    </row>
    <row r="148" spans="1:29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31"/>
      <c r="J148" s="31"/>
      <c r="K148" s="31"/>
      <c r="L148" s="25"/>
      <c r="M148" s="25"/>
      <c r="N148" s="25"/>
      <c r="O148" s="25"/>
      <c r="P148" s="31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B148" s="23"/>
      <c r="AC148" s="11"/>
    </row>
    <row r="149" spans="1:29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31"/>
      <c r="J149" s="31"/>
      <c r="K149" s="31"/>
      <c r="L149" s="25"/>
      <c r="M149" s="25"/>
      <c r="N149" s="25"/>
      <c r="O149" s="25"/>
      <c r="P149" s="31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B149" s="23"/>
      <c r="AC149" s="11"/>
    </row>
    <row r="150" spans="1:29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31"/>
      <c r="J150" s="31"/>
      <c r="K150" s="31"/>
      <c r="L150" s="25"/>
      <c r="M150" s="25"/>
      <c r="N150" s="25"/>
      <c r="O150" s="25"/>
      <c r="P150" s="31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B150" s="23"/>
      <c r="AC150" s="11"/>
    </row>
    <row r="151" spans="1:29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31"/>
      <c r="J151" s="31"/>
      <c r="K151" s="31"/>
      <c r="L151" s="25"/>
      <c r="M151" s="25"/>
      <c r="N151" s="25"/>
      <c r="O151" s="25"/>
      <c r="P151" s="31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B151" s="23"/>
      <c r="AC151" s="11"/>
    </row>
    <row r="152" spans="1:29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31"/>
      <c r="J152" s="31"/>
      <c r="K152" s="31"/>
      <c r="L152" s="25"/>
      <c r="M152" s="25"/>
      <c r="N152" s="25"/>
      <c r="O152" s="25"/>
      <c r="P152" s="31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B152" s="23"/>
      <c r="AC152" s="11"/>
    </row>
    <row r="153" spans="1:29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31"/>
      <c r="J153" s="31"/>
      <c r="K153" s="31"/>
      <c r="L153" s="25"/>
      <c r="M153" s="25"/>
      <c r="N153" s="25"/>
      <c r="O153" s="25"/>
      <c r="P153" s="31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B153" s="23"/>
      <c r="AC153" s="11"/>
    </row>
    <row r="154" spans="1:29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31"/>
      <c r="J154" s="31"/>
      <c r="K154" s="31"/>
      <c r="L154" s="25"/>
      <c r="M154" s="25"/>
      <c r="N154" s="25"/>
      <c r="O154" s="25"/>
      <c r="P154" s="31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B154" s="23"/>
      <c r="AC154" s="11"/>
    </row>
    <row r="155" spans="1:29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31"/>
      <c r="J155" s="31"/>
      <c r="K155" s="31"/>
      <c r="L155" s="25"/>
      <c r="M155" s="25"/>
      <c r="N155" s="25"/>
      <c r="O155" s="25"/>
      <c r="P155" s="31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B155" s="23"/>
      <c r="AC155" s="11"/>
    </row>
    <row r="156" spans="1:29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31"/>
      <c r="J156" s="31"/>
      <c r="K156" s="31"/>
      <c r="L156" s="25"/>
      <c r="M156" s="25"/>
      <c r="N156" s="25"/>
      <c r="O156" s="25"/>
      <c r="P156" s="31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B156" s="23"/>
      <c r="AC156" s="11"/>
    </row>
    <row r="157" spans="1:29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31"/>
      <c r="J157" s="31"/>
      <c r="K157" s="31"/>
      <c r="L157" s="25"/>
      <c r="M157" s="25"/>
      <c r="N157" s="25"/>
      <c r="O157" s="25"/>
      <c r="P157" s="31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B157" s="23"/>
      <c r="AC157" s="11"/>
    </row>
    <row r="158" spans="1:29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31"/>
      <c r="J158" s="31"/>
      <c r="K158" s="31"/>
      <c r="L158" s="25"/>
      <c r="M158" s="25"/>
      <c r="N158" s="25"/>
      <c r="O158" s="25"/>
      <c r="P158" s="31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B158" s="23"/>
      <c r="AC158" s="11"/>
    </row>
    <row r="159" spans="1:29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31"/>
      <c r="J159" s="31"/>
      <c r="K159" s="31"/>
      <c r="L159" s="25"/>
      <c r="M159" s="25"/>
      <c r="N159" s="25"/>
      <c r="O159" s="25"/>
      <c r="P159" s="31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B159" s="23"/>
      <c r="AC159" s="11"/>
    </row>
    <row r="160" spans="1:29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31"/>
      <c r="J160" s="31"/>
      <c r="K160" s="31"/>
      <c r="L160" s="25"/>
      <c r="M160" s="25"/>
      <c r="N160" s="25"/>
      <c r="O160" s="25"/>
      <c r="P160" s="31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B160" s="23"/>
      <c r="AC160" s="11"/>
    </row>
    <row r="161" spans="1:29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31"/>
      <c r="J161" s="31"/>
      <c r="K161" s="31"/>
      <c r="L161" s="25"/>
      <c r="M161" s="25"/>
      <c r="N161" s="25"/>
      <c r="O161" s="25"/>
      <c r="P161" s="31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B161" s="23"/>
      <c r="AC161" s="11"/>
    </row>
    <row r="162" spans="1:29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31"/>
      <c r="J162" s="31"/>
      <c r="K162" s="31"/>
      <c r="L162" s="25"/>
      <c r="M162" s="25"/>
      <c r="N162" s="25"/>
      <c r="O162" s="25"/>
      <c r="P162" s="31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B162" s="23"/>
      <c r="AC162" s="11"/>
    </row>
    <row r="163" spans="1:29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31"/>
      <c r="J163" s="31"/>
      <c r="K163" s="31"/>
      <c r="L163" s="25"/>
      <c r="M163" s="25"/>
      <c r="N163" s="25"/>
      <c r="O163" s="25"/>
      <c r="P163" s="31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B163" s="23"/>
      <c r="AC163" s="11"/>
    </row>
    <row r="164" spans="1:29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31"/>
      <c r="J164" s="31"/>
      <c r="K164" s="31"/>
      <c r="L164" s="25"/>
      <c r="M164" s="25"/>
      <c r="N164" s="25"/>
      <c r="O164" s="25"/>
      <c r="P164" s="31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B164" s="23"/>
      <c r="AC164" s="11"/>
    </row>
    <row r="165" spans="1:29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31"/>
      <c r="J165" s="31"/>
      <c r="K165" s="31"/>
      <c r="L165" s="25"/>
      <c r="M165" s="25"/>
      <c r="N165" s="25"/>
      <c r="O165" s="25"/>
      <c r="P165" s="31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B165" s="23"/>
      <c r="AC165" s="11"/>
    </row>
    <row r="166" spans="1:29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31"/>
      <c r="J166" s="31"/>
      <c r="K166" s="31"/>
      <c r="L166" s="25"/>
      <c r="M166" s="25"/>
      <c r="N166" s="25"/>
      <c r="O166" s="25"/>
      <c r="P166" s="31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B166" s="23"/>
      <c r="AC166" s="11"/>
    </row>
    <row r="167" spans="1:29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31"/>
      <c r="J167" s="31"/>
      <c r="K167" s="31"/>
      <c r="L167" s="25"/>
      <c r="M167" s="25"/>
      <c r="N167" s="25"/>
      <c r="O167" s="25"/>
      <c r="P167" s="31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B167" s="23"/>
      <c r="AC167" s="11"/>
    </row>
    <row r="168" spans="1:29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31"/>
      <c r="J168" s="31"/>
      <c r="K168" s="31"/>
      <c r="L168" s="25"/>
      <c r="M168" s="25"/>
      <c r="N168" s="25"/>
      <c r="O168" s="25"/>
      <c r="P168" s="31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B168" s="23"/>
      <c r="AC168" s="11"/>
    </row>
    <row r="169" spans="1:29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31"/>
      <c r="J169" s="31"/>
      <c r="K169" s="31"/>
      <c r="L169" s="25"/>
      <c r="M169" s="25"/>
      <c r="N169" s="25"/>
      <c r="O169" s="25"/>
      <c r="P169" s="31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B169" s="23"/>
      <c r="AC169" s="11"/>
    </row>
    <row r="170" spans="1:29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31"/>
      <c r="J170" s="31"/>
      <c r="K170" s="31"/>
      <c r="L170" s="25"/>
      <c r="M170" s="25"/>
      <c r="N170" s="25"/>
      <c r="O170" s="25"/>
      <c r="P170" s="31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B170" s="23"/>
      <c r="AC170" s="11"/>
    </row>
    <row r="171" spans="1:29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31"/>
      <c r="J171" s="31"/>
      <c r="K171" s="31"/>
      <c r="L171" s="25"/>
      <c r="M171" s="25"/>
      <c r="N171" s="25"/>
      <c r="O171" s="25"/>
      <c r="P171" s="31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B171" s="23"/>
      <c r="AC171" s="11"/>
    </row>
    <row r="172" spans="1:29" s="10" customFormat="1" x14ac:dyDescent="0.25">
      <c r="A172" s="19"/>
      <c r="B172" s="20"/>
      <c r="C172" s="20"/>
      <c r="D172" s="20"/>
      <c r="E172" s="27"/>
      <c r="F172" s="21"/>
      <c r="G172" s="22"/>
      <c r="H172" s="25"/>
      <c r="I172" s="31"/>
      <c r="J172" s="31"/>
      <c r="K172" s="31"/>
      <c r="L172" s="25"/>
      <c r="M172" s="25"/>
      <c r="N172" s="25"/>
      <c r="O172" s="25"/>
      <c r="P172" s="31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B172" s="23"/>
      <c r="AC172" s="11"/>
    </row>
    <row r="173" spans="1:29" s="10" customFormat="1" x14ac:dyDescent="0.25">
      <c r="A173" s="19"/>
      <c r="B173" s="20"/>
      <c r="C173" s="20"/>
      <c r="D173" s="20"/>
      <c r="E173" s="27"/>
      <c r="F173" s="21"/>
      <c r="G173" s="22"/>
      <c r="H173" s="25"/>
      <c r="I173" s="31"/>
      <c r="J173" s="31"/>
      <c r="K173" s="31"/>
      <c r="L173" s="25"/>
      <c r="M173" s="25"/>
      <c r="N173" s="25"/>
      <c r="O173" s="25"/>
      <c r="P173" s="31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B173" s="23"/>
      <c r="AC173" s="11"/>
    </row>
    <row r="174" spans="1:29" s="10" customFormat="1" x14ac:dyDescent="0.25">
      <c r="A174" s="19"/>
      <c r="B174" s="20"/>
      <c r="C174" s="20"/>
      <c r="D174" s="20"/>
      <c r="E174" s="27"/>
      <c r="F174" s="21"/>
      <c r="G174" s="22"/>
      <c r="H174" s="25"/>
      <c r="I174" s="31"/>
      <c r="J174" s="31"/>
      <c r="K174" s="31"/>
      <c r="L174" s="25"/>
      <c r="M174" s="25"/>
      <c r="N174" s="25"/>
      <c r="O174" s="25"/>
      <c r="P174" s="31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B174" s="23"/>
      <c r="AC174" s="11"/>
    </row>
    <row r="175" spans="1:29" s="10" customFormat="1" x14ac:dyDescent="0.25">
      <c r="A175" s="19"/>
      <c r="B175" s="20"/>
      <c r="C175" s="20"/>
      <c r="D175" s="20"/>
      <c r="E175" s="27"/>
      <c r="F175" s="21"/>
      <c r="G175" s="22"/>
      <c r="H175" s="25"/>
      <c r="I175" s="31"/>
      <c r="J175" s="31"/>
      <c r="K175" s="31"/>
      <c r="L175" s="25"/>
      <c r="M175" s="25"/>
      <c r="N175" s="25"/>
      <c r="O175" s="25"/>
      <c r="P175" s="31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B175" s="23"/>
      <c r="AC175" s="11"/>
    </row>
    <row r="176" spans="1:29" s="10" customFormat="1" x14ac:dyDescent="0.25">
      <c r="A176" s="19"/>
      <c r="B176" s="20"/>
      <c r="C176" s="20"/>
      <c r="D176" s="20"/>
      <c r="E176" s="27"/>
      <c r="F176" s="21"/>
      <c r="G176" s="22"/>
      <c r="H176" s="25"/>
      <c r="I176" s="31"/>
      <c r="J176" s="31"/>
      <c r="K176" s="31"/>
      <c r="L176" s="25"/>
      <c r="M176" s="25"/>
      <c r="N176" s="25"/>
      <c r="O176" s="25"/>
      <c r="P176" s="31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B176" s="23"/>
      <c r="AC176" s="11"/>
    </row>
    <row r="177" spans="1:29" s="10" customFormat="1" x14ac:dyDescent="0.25">
      <c r="A177" s="19"/>
      <c r="B177" s="20"/>
      <c r="C177" s="20"/>
      <c r="D177" s="20"/>
      <c r="E177" s="27"/>
      <c r="F177" s="21"/>
      <c r="G177" s="22"/>
      <c r="H177" s="25"/>
      <c r="I177" s="31"/>
      <c r="J177" s="31"/>
      <c r="K177" s="31"/>
      <c r="L177" s="25"/>
      <c r="M177" s="25"/>
      <c r="N177" s="25"/>
      <c r="O177" s="25"/>
      <c r="P177" s="31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B177" s="23"/>
      <c r="AC177" s="11"/>
    </row>
    <row r="178" spans="1:29" s="10" customFormat="1" x14ac:dyDescent="0.25">
      <c r="A178" s="19"/>
      <c r="B178" s="20"/>
      <c r="C178" s="20"/>
      <c r="D178" s="20"/>
      <c r="E178" s="27"/>
      <c r="F178" s="21"/>
      <c r="G178" s="22"/>
      <c r="H178" s="25"/>
      <c r="I178" s="31"/>
      <c r="J178" s="31"/>
      <c r="K178" s="31"/>
      <c r="L178" s="25"/>
      <c r="M178" s="25"/>
      <c r="N178" s="25"/>
      <c r="O178" s="25"/>
      <c r="P178" s="31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B178" s="23"/>
      <c r="AC178" s="11"/>
    </row>
    <row r="179" spans="1:29" s="10" customFormat="1" x14ac:dyDescent="0.25">
      <c r="A179" s="19"/>
      <c r="B179" s="20"/>
      <c r="C179" s="20"/>
      <c r="D179" s="20"/>
      <c r="E179" s="27"/>
      <c r="F179" s="21"/>
      <c r="G179" s="22"/>
      <c r="H179" s="25"/>
      <c r="I179" s="31"/>
      <c r="J179" s="31"/>
      <c r="K179" s="31"/>
      <c r="L179" s="25"/>
      <c r="M179" s="25"/>
      <c r="N179" s="25"/>
      <c r="O179" s="25"/>
      <c r="P179" s="31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B179" s="23"/>
      <c r="AC179" s="11"/>
    </row>
    <row r="180" spans="1:29" s="10" customFormat="1" x14ac:dyDescent="0.25">
      <c r="A180" s="19"/>
      <c r="B180" s="20"/>
      <c r="C180" s="20"/>
      <c r="D180" s="20"/>
      <c r="E180" s="27"/>
      <c r="F180" s="21"/>
      <c r="G180" s="22"/>
      <c r="H180" s="25"/>
      <c r="I180" s="31"/>
      <c r="J180" s="31"/>
      <c r="K180" s="31"/>
      <c r="L180" s="25"/>
      <c r="M180" s="25"/>
      <c r="N180" s="25"/>
      <c r="O180" s="25"/>
      <c r="P180" s="31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B180" s="23"/>
      <c r="AC180" s="11"/>
    </row>
    <row r="181" spans="1:29" s="10" customFormat="1" x14ac:dyDescent="0.25">
      <c r="A181" s="19"/>
      <c r="B181" s="20"/>
      <c r="C181" s="20"/>
      <c r="D181" s="20"/>
      <c r="E181" s="27"/>
      <c r="F181" s="21"/>
      <c r="G181" s="22"/>
      <c r="H181" s="25"/>
      <c r="I181" s="31"/>
      <c r="J181" s="31"/>
      <c r="K181" s="31"/>
      <c r="L181" s="25"/>
      <c r="M181" s="25"/>
      <c r="N181" s="25"/>
      <c r="O181" s="25"/>
      <c r="P181" s="31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B181" s="23"/>
      <c r="AC181" s="11"/>
    </row>
    <row r="182" spans="1:29" s="10" customFormat="1" x14ac:dyDescent="0.25">
      <c r="A182" s="19"/>
      <c r="B182" s="20"/>
      <c r="C182" s="20"/>
      <c r="D182" s="20"/>
      <c r="E182" s="27"/>
      <c r="F182" s="21"/>
      <c r="G182" s="22"/>
      <c r="H182" s="25"/>
      <c r="I182" s="31"/>
      <c r="J182" s="31"/>
      <c r="K182" s="31"/>
      <c r="L182" s="25"/>
      <c r="M182" s="25"/>
      <c r="N182" s="25"/>
      <c r="O182" s="25"/>
      <c r="P182" s="31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B182" s="23"/>
      <c r="AC182" s="11"/>
    </row>
    <row r="183" spans="1:29" s="10" customFormat="1" x14ac:dyDescent="0.25">
      <c r="A183" s="19"/>
      <c r="B183" s="20"/>
      <c r="C183" s="20"/>
      <c r="D183" s="20"/>
      <c r="E183" s="27"/>
      <c r="F183" s="21"/>
      <c r="G183" s="22"/>
      <c r="H183" s="25"/>
      <c r="I183" s="31"/>
      <c r="J183" s="31"/>
      <c r="K183" s="31"/>
      <c r="L183" s="25"/>
      <c r="M183" s="25"/>
      <c r="N183" s="25"/>
      <c r="O183" s="25"/>
      <c r="P183" s="31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B183" s="23"/>
      <c r="AC183" s="11"/>
    </row>
    <row r="184" spans="1:29" s="10" customFormat="1" x14ac:dyDescent="0.25">
      <c r="A184" s="19"/>
      <c r="B184" s="20"/>
      <c r="C184" s="20"/>
      <c r="D184" s="20"/>
      <c r="E184" s="27"/>
      <c r="F184" s="21"/>
      <c r="G184" s="22"/>
      <c r="H184" s="25"/>
      <c r="I184" s="31"/>
      <c r="J184" s="31"/>
      <c r="K184" s="31"/>
      <c r="L184" s="25"/>
      <c r="M184" s="25"/>
      <c r="N184" s="25"/>
      <c r="O184" s="25"/>
      <c r="P184" s="31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B184" s="23"/>
      <c r="AC184" s="11"/>
    </row>
    <row r="185" spans="1:29" s="10" customFormat="1" x14ac:dyDescent="0.25">
      <c r="A185" s="19"/>
      <c r="B185" s="20"/>
      <c r="C185" s="20"/>
      <c r="D185" s="20"/>
      <c r="E185" s="27"/>
      <c r="F185" s="21"/>
      <c r="G185" s="22"/>
      <c r="H185" s="25"/>
      <c r="I185" s="31"/>
      <c r="J185" s="31"/>
      <c r="K185" s="31"/>
      <c r="L185" s="25"/>
      <c r="M185" s="25"/>
      <c r="N185" s="25"/>
      <c r="O185" s="25"/>
      <c r="P185" s="31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B185" s="23"/>
      <c r="AC185" s="11"/>
    </row>
    <row r="186" spans="1:29" s="10" customFormat="1" x14ac:dyDescent="0.25">
      <c r="A186" s="19"/>
      <c r="B186" s="20"/>
      <c r="C186" s="20"/>
      <c r="D186" s="20"/>
      <c r="E186" s="27"/>
      <c r="F186" s="21"/>
      <c r="G186" s="22"/>
      <c r="H186" s="25"/>
      <c r="I186" s="31"/>
      <c r="J186" s="31"/>
      <c r="K186" s="31"/>
      <c r="L186" s="25"/>
      <c r="M186" s="25"/>
      <c r="N186" s="25"/>
      <c r="O186" s="25"/>
      <c r="P186" s="31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B186" s="23"/>
      <c r="AC186" s="11"/>
    </row>
    <row r="187" spans="1:29" s="10" customFormat="1" x14ac:dyDescent="0.25">
      <c r="A187" s="19"/>
      <c r="B187" s="20"/>
      <c r="C187" s="20"/>
      <c r="D187" s="20"/>
      <c r="E187" s="27"/>
      <c r="F187" s="21"/>
      <c r="G187" s="22"/>
      <c r="H187" s="25"/>
      <c r="I187" s="31"/>
      <c r="J187" s="31"/>
      <c r="K187" s="31"/>
      <c r="L187" s="25"/>
      <c r="M187" s="25"/>
      <c r="N187" s="25"/>
      <c r="O187" s="25"/>
      <c r="P187" s="31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B187" s="23"/>
      <c r="AC187" s="11"/>
    </row>
    <row r="188" spans="1:29" s="10" customFormat="1" x14ac:dyDescent="0.25">
      <c r="A188" s="19"/>
      <c r="B188" s="20"/>
      <c r="C188" s="20"/>
      <c r="D188" s="20"/>
      <c r="E188" s="27"/>
      <c r="F188" s="21"/>
      <c r="G188" s="22"/>
      <c r="H188" s="25"/>
      <c r="I188" s="31"/>
      <c r="J188" s="31"/>
      <c r="K188" s="31"/>
      <c r="L188" s="25"/>
      <c r="M188" s="25"/>
      <c r="N188" s="25"/>
      <c r="O188" s="25"/>
      <c r="P188" s="31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B188" s="23"/>
      <c r="AC188" s="11"/>
    </row>
    <row r="189" spans="1:29" s="10" customFormat="1" x14ac:dyDescent="0.25">
      <c r="A189" s="19"/>
      <c r="B189" s="20"/>
      <c r="C189" s="20"/>
      <c r="D189" s="20"/>
      <c r="E189" s="27"/>
      <c r="F189" s="21"/>
      <c r="G189" s="22"/>
      <c r="H189" s="25"/>
      <c r="I189" s="31"/>
      <c r="J189" s="31"/>
      <c r="K189" s="31"/>
      <c r="L189" s="25"/>
      <c r="M189" s="25"/>
      <c r="N189" s="25"/>
      <c r="O189" s="25"/>
      <c r="P189" s="31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B189" s="23"/>
      <c r="AC189" s="11"/>
    </row>
    <row r="190" spans="1:29" s="10" customFormat="1" x14ac:dyDescent="0.25">
      <c r="A190" s="19"/>
      <c r="B190" s="20"/>
      <c r="C190" s="20"/>
      <c r="D190" s="20"/>
      <c r="E190" s="27"/>
      <c r="F190" s="21"/>
      <c r="G190" s="22"/>
      <c r="H190" s="25"/>
      <c r="I190" s="31"/>
      <c r="J190" s="31"/>
      <c r="K190" s="31"/>
      <c r="L190" s="25"/>
      <c r="M190" s="25"/>
      <c r="N190" s="25"/>
      <c r="O190" s="25"/>
      <c r="P190" s="31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B190" s="23"/>
      <c r="AC190" s="11"/>
    </row>
    <row r="191" spans="1:29" s="10" customFormat="1" x14ac:dyDescent="0.25">
      <c r="A191" s="19"/>
      <c r="B191" s="20"/>
      <c r="C191" s="20"/>
      <c r="D191" s="20"/>
      <c r="E191" s="27"/>
      <c r="F191" s="21"/>
      <c r="G191" s="22"/>
      <c r="H191" s="25"/>
      <c r="I191" s="31"/>
      <c r="J191" s="31"/>
      <c r="K191" s="31"/>
      <c r="L191" s="25"/>
      <c r="M191" s="25"/>
      <c r="N191" s="25"/>
      <c r="O191" s="25"/>
      <c r="P191" s="31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B191" s="23"/>
      <c r="AC191" s="11"/>
    </row>
    <row r="192" spans="1:29" s="10" customFormat="1" x14ac:dyDescent="0.25">
      <c r="A192" s="19"/>
      <c r="B192" s="20"/>
      <c r="C192" s="20"/>
      <c r="D192" s="20"/>
      <c r="E192" s="27"/>
      <c r="F192" s="21"/>
      <c r="G192" s="22"/>
      <c r="H192" s="25"/>
      <c r="I192" s="31"/>
      <c r="J192" s="31"/>
      <c r="K192" s="31"/>
      <c r="L192" s="25"/>
      <c r="M192" s="25"/>
      <c r="N192" s="25"/>
      <c r="O192" s="25"/>
      <c r="P192" s="31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B192" s="23"/>
      <c r="AC192" s="11"/>
    </row>
    <row r="193" spans="1:29" s="10" customFormat="1" x14ac:dyDescent="0.25">
      <c r="A193" s="19"/>
      <c r="B193" s="20"/>
      <c r="C193" s="20"/>
      <c r="D193" s="20"/>
      <c r="E193" s="27"/>
      <c r="F193" s="21"/>
      <c r="G193" s="22"/>
      <c r="H193" s="25"/>
      <c r="I193" s="31"/>
      <c r="J193" s="31"/>
      <c r="K193" s="31"/>
      <c r="L193" s="25"/>
      <c r="M193" s="25"/>
      <c r="N193" s="25"/>
      <c r="O193" s="25"/>
      <c r="P193" s="31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B193" s="23"/>
      <c r="AC193" s="11"/>
    </row>
    <row r="194" spans="1:29" s="10" customFormat="1" x14ac:dyDescent="0.25">
      <c r="A194" s="19"/>
      <c r="B194" s="20"/>
      <c r="C194" s="20"/>
      <c r="D194" s="20"/>
      <c r="E194" s="27"/>
      <c r="F194" s="21"/>
      <c r="G194" s="22"/>
      <c r="H194" s="25"/>
      <c r="I194" s="31"/>
      <c r="J194" s="31"/>
      <c r="K194" s="31"/>
      <c r="L194" s="25"/>
      <c r="M194" s="25"/>
      <c r="N194" s="25"/>
      <c r="O194" s="25"/>
      <c r="P194" s="31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B194" s="23"/>
      <c r="AC194" s="11"/>
    </row>
    <row r="195" spans="1:29" s="10" customFormat="1" x14ac:dyDescent="0.25">
      <c r="A195" s="19"/>
      <c r="B195" s="20"/>
      <c r="C195" s="20"/>
      <c r="D195" s="20"/>
      <c r="E195" s="27"/>
      <c r="F195" s="21"/>
      <c r="G195" s="22"/>
      <c r="H195" s="25"/>
      <c r="I195" s="31"/>
      <c r="J195" s="31"/>
      <c r="K195" s="31"/>
      <c r="L195" s="25"/>
      <c r="M195" s="25"/>
      <c r="N195" s="25"/>
      <c r="O195" s="25"/>
      <c r="P195" s="31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B195" s="23"/>
      <c r="AC195" s="11"/>
    </row>
    <row r="196" spans="1:29" s="10" customFormat="1" x14ac:dyDescent="0.25">
      <c r="A196" s="19"/>
      <c r="B196" s="20"/>
      <c r="C196" s="20"/>
      <c r="D196" s="20"/>
      <c r="E196" s="27"/>
      <c r="F196" s="21"/>
      <c r="G196" s="22"/>
      <c r="H196" s="25"/>
      <c r="I196" s="31"/>
      <c r="J196" s="31"/>
      <c r="K196" s="31"/>
      <c r="L196" s="25"/>
      <c r="M196" s="25"/>
      <c r="N196" s="25"/>
      <c r="O196" s="25"/>
      <c r="P196" s="31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B196" s="23"/>
      <c r="AC196" s="11"/>
    </row>
    <row r="197" spans="1:29" s="10" customFormat="1" x14ac:dyDescent="0.25">
      <c r="A197" s="19"/>
      <c r="B197" s="20"/>
      <c r="C197" s="20"/>
      <c r="D197" s="20"/>
      <c r="E197" s="27"/>
      <c r="F197" s="21"/>
      <c r="G197" s="22"/>
      <c r="H197" s="25"/>
      <c r="I197" s="31"/>
      <c r="J197" s="31"/>
      <c r="K197" s="31"/>
      <c r="L197" s="25"/>
      <c r="M197" s="25"/>
      <c r="N197" s="25"/>
      <c r="O197" s="25"/>
      <c r="P197" s="31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B197" s="23"/>
      <c r="AC197" s="11"/>
    </row>
    <row r="198" spans="1:29" s="10" customFormat="1" x14ac:dyDescent="0.25">
      <c r="A198" s="19"/>
      <c r="B198" s="20"/>
      <c r="C198" s="20"/>
      <c r="D198" s="20"/>
      <c r="E198" s="27"/>
      <c r="F198" s="21"/>
      <c r="G198" s="22"/>
      <c r="H198" s="25"/>
      <c r="I198" s="31"/>
      <c r="J198" s="31"/>
      <c r="K198" s="31"/>
      <c r="L198" s="25"/>
      <c r="M198" s="25"/>
      <c r="N198" s="25"/>
      <c r="O198" s="25"/>
      <c r="P198" s="31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B198" s="23"/>
      <c r="AC198" s="11"/>
    </row>
    <row r="199" spans="1:29" s="10" customFormat="1" x14ac:dyDescent="0.25">
      <c r="A199" s="19"/>
      <c r="B199" s="20"/>
      <c r="C199" s="20"/>
      <c r="D199" s="20"/>
      <c r="E199" s="27"/>
      <c r="F199" s="21"/>
      <c r="G199" s="22"/>
      <c r="H199" s="25"/>
      <c r="I199" s="31"/>
      <c r="J199" s="31"/>
      <c r="K199" s="31"/>
      <c r="L199" s="25"/>
      <c r="M199" s="25"/>
      <c r="N199" s="25"/>
      <c r="O199" s="25"/>
      <c r="P199" s="31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B199" s="23"/>
      <c r="AC199" s="11"/>
    </row>
    <row r="200" spans="1:29" s="10" customFormat="1" x14ac:dyDescent="0.25">
      <c r="A200" s="19"/>
      <c r="B200" s="20"/>
      <c r="C200" s="20"/>
      <c r="D200" s="20"/>
      <c r="E200" s="27"/>
      <c r="F200" s="21"/>
      <c r="G200" s="22"/>
      <c r="H200" s="25"/>
      <c r="I200" s="31"/>
      <c r="J200" s="31"/>
      <c r="K200" s="31"/>
      <c r="L200" s="25"/>
      <c r="M200" s="25"/>
      <c r="N200" s="25"/>
      <c r="O200" s="25"/>
      <c r="P200" s="31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B200" s="23"/>
      <c r="AC200" s="11"/>
    </row>
    <row r="201" spans="1:29" s="10" customFormat="1" x14ac:dyDescent="0.25">
      <c r="A201" s="19"/>
      <c r="B201" s="20"/>
      <c r="C201" s="20"/>
      <c r="D201" s="20"/>
      <c r="E201" s="27"/>
      <c r="F201" s="21"/>
      <c r="G201" s="22"/>
      <c r="H201" s="25"/>
      <c r="I201" s="31"/>
      <c r="J201" s="31"/>
      <c r="K201" s="31"/>
      <c r="L201" s="25"/>
      <c r="M201" s="25"/>
      <c r="N201" s="25"/>
      <c r="O201" s="25"/>
      <c r="P201" s="31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B201" s="23"/>
      <c r="AC201" s="11"/>
    </row>
    <row r="202" spans="1:29" s="10" customFormat="1" x14ac:dyDescent="0.25">
      <c r="A202" s="19"/>
      <c r="B202" s="20"/>
      <c r="C202" s="20"/>
      <c r="D202" s="20"/>
      <c r="E202" s="27"/>
      <c r="F202" s="21"/>
      <c r="G202" s="22"/>
      <c r="H202" s="25"/>
      <c r="I202" s="31"/>
      <c r="J202" s="31"/>
      <c r="K202" s="31"/>
      <c r="L202" s="25"/>
      <c r="M202" s="25"/>
      <c r="N202" s="25"/>
      <c r="O202" s="25"/>
      <c r="P202" s="31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B202" s="23"/>
      <c r="AC202" s="11"/>
    </row>
    <row r="203" spans="1:29" s="10" customFormat="1" x14ac:dyDescent="0.25">
      <c r="A203" s="19"/>
      <c r="B203" s="20"/>
      <c r="C203" s="20"/>
      <c r="D203" s="20"/>
      <c r="E203" s="27"/>
      <c r="F203" s="21"/>
      <c r="G203" s="22"/>
      <c r="H203" s="25"/>
      <c r="I203" s="31"/>
      <c r="J203" s="31"/>
      <c r="K203" s="31"/>
      <c r="L203" s="25"/>
      <c r="M203" s="25"/>
      <c r="N203" s="25"/>
      <c r="O203" s="25"/>
      <c r="P203" s="31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B203" s="23"/>
      <c r="AC203" s="11"/>
    </row>
    <row r="204" spans="1:29" s="10" customFormat="1" x14ac:dyDescent="0.25">
      <c r="A204" s="19"/>
      <c r="B204" s="20"/>
      <c r="C204" s="20"/>
      <c r="D204" s="20"/>
      <c r="E204" s="27"/>
      <c r="F204" s="21"/>
      <c r="G204" s="22"/>
      <c r="H204" s="25"/>
      <c r="I204" s="31"/>
      <c r="J204" s="31"/>
      <c r="K204" s="31"/>
      <c r="L204" s="25"/>
      <c r="M204" s="25"/>
      <c r="N204" s="25"/>
      <c r="O204" s="25"/>
      <c r="P204" s="31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B204" s="23"/>
      <c r="AC204" s="11"/>
    </row>
    <row r="205" spans="1:29" s="10" customFormat="1" x14ac:dyDescent="0.25">
      <c r="A205" s="19"/>
      <c r="B205" s="20"/>
      <c r="C205" s="20"/>
      <c r="D205" s="20"/>
      <c r="E205" s="27"/>
      <c r="F205" s="21"/>
      <c r="G205" s="22"/>
      <c r="H205" s="25"/>
      <c r="I205" s="31"/>
      <c r="J205" s="31"/>
      <c r="K205" s="31"/>
      <c r="L205" s="25"/>
      <c r="M205" s="25"/>
      <c r="N205" s="25"/>
      <c r="O205" s="25"/>
      <c r="P205" s="31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B205" s="23"/>
      <c r="AC205" s="11"/>
    </row>
    <row r="206" spans="1:29" s="10" customFormat="1" x14ac:dyDescent="0.25">
      <c r="A206" s="19"/>
      <c r="B206" s="20"/>
      <c r="C206" s="20"/>
      <c r="D206" s="20"/>
      <c r="E206" s="27"/>
      <c r="F206" s="21"/>
      <c r="G206" s="22"/>
      <c r="H206" s="25"/>
      <c r="I206" s="31"/>
      <c r="J206" s="31"/>
      <c r="K206" s="31"/>
      <c r="L206" s="25"/>
      <c r="M206" s="25"/>
      <c r="N206" s="25"/>
      <c r="O206" s="25"/>
      <c r="P206" s="31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B206" s="23"/>
      <c r="AC206" s="11"/>
    </row>
    <row r="207" spans="1:29" s="10" customFormat="1" x14ac:dyDescent="0.25">
      <c r="A207" s="19"/>
      <c r="B207" s="20"/>
      <c r="C207" s="20"/>
      <c r="D207" s="20"/>
      <c r="E207" s="27"/>
      <c r="F207" s="21"/>
      <c r="G207" s="22"/>
      <c r="H207" s="25"/>
      <c r="I207" s="31"/>
      <c r="J207" s="31"/>
      <c r="K207" s="31"/>
      <c r="L207" s="25"/>
      <c r="M207" s="25"/>
      <c r="N207" s="25"/>
      <c r="O207" s="25"/>
      <c r="P207" s="31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B207" s="23"/>
      <c r="AC207" s="11"/>
    </row>
    <row r="208" spans="1:29" s="10" customFormat="1" x14ac:dyDescent="0.25">
      <c r="A208" s="19"/>
      <c r="B208" s="20"/>
      <c r="C208" s="20"/>
      <c r="D208" s="20"/>
      <c r="E208" s="27"/>
      <c r="F208" s="21"/>
      <c r="G208" s="22"/>
      <c r="H208" s="25"/>
      <c r="I208" s="31"/>
      <c r="J208" s="31"/>
      <c r="K208" s="31"/>
      <c r="L208" s="25"/>
      <c r="M208" s="25"/>
      <c r="N208" s="25"/>
      <c r="O208" s="25"/>
      <c r="P208" s="31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B208" s="23"/>
      <c r="AC208" s="11"/>
    </row>
    <row r="209" spans="1:29" s="10" customFormat="1" x14ac:dyDescent="0.25">
      <c r="A209" s="19"/>
      <c r="B209" s="20"/>
      <c r="C209" s="20"/>
      <c r="D209" s="20"/>
      <c r="E209" s="27"/>
      <c r="F209" s="21"/>
      <c r="G209" s="22"/>
      <c r="H209" s="25"/>
      <c r="I209" s="31"/>
      <c r="J209" s="31"/>
      <c r="K209" s="31"/>
      <c r="L209" s="25"/>
      <c r="M209" s="25"/>
      <c r="N209" s="25"/>
      <c r="O209" s="25"/>
      <c r="P209" s="31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B209" s="23"/>
      <c r="AC209" s="11"/>
    </row>
    <row r="210" spans="1:29" s="10" customFormat="1" x14ac:dyDescent="0.25">
      <c r="A210" s="19"/>
      <c r="B210" s="20"/>
      <c r="C210" s="20"/>
      <c r="D210" s="20"/>
      <c r="E210" s="27"/>
      <c r="F210" s="21"/>
      <c r="G210" s="22"/>
      <c r="H210" s="25"/>
      <c r="I210" s="31"/>
      <c r="J210" s="31"/>
      <c r="K210" s="31"/>
      <c r="L210" s="25"/>
      <c r="M210" s="25"/>
      <c r="N210" s="25"/>
      <c r="O210" s="25"/>
      <c r="P210" s="31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B210" s="23"/>
      <c r="AC210" s="11"/>
    </row>
    <row r="211" spans="1:29" s="10" customFormat="1" x14ac:dyDescent="0.25">
      <c r="A211" s="19"/>
      <c r="B211" s="20"/>
      <c r="C211" s="20"/>
      <c r="D211" s="20"/>
      <c r="E211" s="27"/>
      <c r="F211" s="21"/>
      <c r="G211" s="22"/>
      <c r="H211" s="25"/>
      <c r="I211" s="31"/>
      <c r="J211" s="31"/>
      <c r="K211" s="31"/>
      <c r="L211" s="25"/>
      <c r="M211" s="25"/>
      <c r="N211" s="25"/>
      <c r="O211" s="25"/>
      <c r="P211" s="31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B211" s="23"/>
      <c r="AC211" s="11"/>
    </row>
    <row r="212" spans="1:29" s="10" customFormat="1" x14ac:dyDescent="0.25">
      <c r="A212" s="19"/>
      <c r="B212" s="20"/>
      <c r="C212" s="20"/>
      <c r="D212" s="20"/>
      <c r="E212" s="27"/>
      <c r="F212" s="21"/>
      <c r="G212" s="22"/>
      <c r="H212" s="25"/>
      <c r="I212" s="31"/>
      <c r="J212" s="31"/>
      <c r="K212" s="31"/>
      <c r="L212" s="25"/>
      <c r="M212" s="25"/>
      <c r="N212" s="25"/>
      <c r="O212" s="25"/>
      <c r="P212" s="31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B212" s="23"/>
      <c r="AC212" s="11"/>
    </row>
    <row r="213" spans="1:29" s="10" customFormat="1" x14ac:dyDescent="0.25">
      <c r="A213" s="19"/>
      <c r="B213" s="20"/>
      <c r="C213" s="20"/>
      <c r="D213" s="20"/>
      <c r="E213" s="27"/>
      <c r="F213" s="21"/>
      <c r="G213" s="22"/>
      <c r="H213" s="25"/>
      <c r="I213" s="31"/>
      <c r="J213" s="31"/>
      <c r="K213" s="31"/>
      <c r="L213" s="25"/>
      <c r="M213" s="25"/>
      <c r="N213" s="25"/>
      <c r="O213" s="25"/>
      <c r="P213" s="31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B213" s="23"/>
      <c r="AC213" s="11"/>
    </row>
    <row r="214" spans="1:29" s="10" customFormat="1" x14ac:dyDescent="0.25">
      <c r="A214" s="19"/>
      <c r="B214" s="20"/>
      <c r="C214" s="20"/>
      <c r="D214" s="20"/>
      <c r="E214" s="27"/>
      <c r="F214" s="21"/>
      <c r="G214" s="22"/>
      <c r="H214" s="25"/>
      <c r="I214" s="31"/>
      <c r="J214" s="31"/>
      <c r="K214" s="31"/>
      <c r="L214" s="25"/>
      <c r="M214" s="25"/>
      <c r="N214" s="25"/>
      <c r="O214" s="25"/>
      <c r="P214" s="31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B214" s="23"/>
      <c r="AC214" s="11"/>
    </row>
    <row r="215" spans="1:29" s="10" customFormat="1" x14ac:dyDescent="0.25">
      <c r="A215" s="19"/>
      <c r="B215" s="20"/>
      <c r="C215" s="20"/>
      <c r="D215" s="20"/>
      <c r="E215" s="27"/>
      <c r="F215" s="21"/>
      <c r="G215" s="22"/>
      <c r="H215" s="25"/>
      <c r="I215" s="31"/>
      <c r="J215" s="31"/>
      <c r="K215" s="31"/>
      <c r="L215" s="25"/>
      <c r="M215" s="25"/>
      <c r="N215" s="25"/>
      <c r="O215" s="25"/>
      <c r="P215" s="31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B215" s="23"/>
      <c r="AC215" s="11"/>
    </row>
    <row r="216" spans="1:29" s="10" customFormat="1" x14ac:dyDescent="0.25">
      <c r="A216" s="19"/>
      <c r="B216" s="20"/>
      <c r="C216" s="20"/>
      <c r="D216" s="20"/>
      <c r="E216" s="27"/>
      <c r="F216" s="21"/>
      <c r="G216" s="22"/>
      <c r="H216" s="25"/>
      <c r="I216" s="31"/>
      <c r="J216" s="31"/>
      <c r="K216" s="31"/>
      <c r="L216" s="25"/>
      <c r="M216" s="25"/>
      <c r="N216" s="25"/>
      <c r="O216" s="25"/>
      <c r="P216" s="31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B216" s="23"/>
      <c r="AC216" s="11"/>
    </row>
    <row r="217" spans="1:29" s="10" customFormat="1" x14ac:dyDescent="0.25">
      <c r="A217" s="19"/>
      <c r="B217" s="20"/>
      <c r="C217" s="20"/>
      <c r="D217" s="20"/>
      <c r="E217" s="27"/>
      <c r="F217" s="21"/>
      <c r="G217" s="22"/>
      <c r="H217" s="25"/>
      <c r="I217" s="31"/>
      <c r="J217" s="31"/>
      <c r="K217" s="31"/>
      <c r="L217" s="25"/>
      <c r="M217" s="25"/>
      <c r="N217" s="25"/>
      <c r="O217" s="25"/>
      <c r="P217" s="31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B217" s="23"/>
      <c r="AC217" s="11"/>
    </row>
    <row r="218" spans="1:29" s="10" customFormat="1" x14ac:dyDescent="0.25">
      <c r="A218" s="19"/>
      <c r="B218" s="20"/>
      <c r="C218" s="20"/>
      <c r="D218" s="20"/>
      <c r="E218" s="27"/>
      <c r="F218" s="21"/>
      <c r="G218" s="22"/>
      <c r="H218" s="25"/>
      <c r="I218" s="31"/>
      <c r="J218" s="31"/>
      <c r="K218" s="31"/>
      <c r="L218" s="25"/>
      <c r="M218" s="25"/>
      <c r="N218" s="25"/>
      <c r="O218" s="25"/>
      <c r="P218" s="31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B218" s="23"/>
      <c r="AC218" s="11"/>
    </row>
    <row r="219" spans="1:29" s="10" customFormat="1" x14ac:dyDescent="0.25">
      <c r="A219" s="19"/>
      <c r="B219" s="20"/>
      <c r="C219" s="20"/>
      <c r="D219" s="20"/>
      <c r="E219" s="27"/>
      <c r="F219" s="21"/>
      <c r="G219" s="22"/>
      <c r="H219" s="25"/>
      <c r="I219" s="31"/>
      <c r="J219" s="31"/>
      <c r="K219" s="31"/>
      <c r="L219" s="25"/>
      <c r="M219" s="25"/>
      <c r="N219" s="25"/>
      <c r="O219" s="25"/>
      <c r="P219" s="31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B219" s="23"/>
      <c r="AC219" s="11"/>
    </row>
    <row r="220" spans="1:29" s="10" customFormat="1" x14ac:dyDescent="0.25">
      <c r="A220" s="19"/>
      <c r="B220" s="20"/>
      <c r="C220" s="20"/>
      <c r="D220" s="20"/>
      <c r="E220" s="27"/>
      <c r="F220" s="21"/>
      <c r="G220" s="22"/>
      <c r="H220" s="25"/>
      <c r="I220" s="31"/>
      <c r="J220" s="31"/>
      <c r="K220" s="31"/>
      <c r="L220" s="25"/>
      <c r="M220" s="25"/>
      <c r="N220" s="25"/>
      <c r="O220" s="25"/>
      <c r="P220" s="31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B220" s="23"/>
      <c r="AC220" s="11"/>
    </row>
    <row r="221" spans="1:29" s="10" customFormat="1" x14ac:dyDescent="0.25">
      <c r="A221" s="19"/>
      <c r="B221" s="20"/>
      <c r="C221" s="20"/>
      <c r="D221" s="20"/>
      <c r="E221" s="27"/>
      <c r="F221" s="21"/>
      <c r="G221" s="22"/>
      <c r="H221" s="25"/>
      <c r="I221" s="31"/>
      <c r="J221" s="31"/>
      <c r="K221" s="31"/>
      <c r="L221" s="25"/>
      <c r="M221" s="25"/>
      <c r="N221" s="25"/>
      <c r="O221" s="25"/>
      <c r="P221" s="31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B221" s="23"/>
      <c r="AC221" s="11"/>
    </row>
    <row r="222" spans="1:29" s="10" customFormat="1" x14ac:dyDescent="0.25">
      <c r="A222" s="19"/>
      <c r="B222" s="20"/>
      <c r="C222" s="20"/>
      <c r="D222" s="20"/>
      <c r="E222" s="27"/>
      <c r="F222" s="21"/>
      <c r="G222" s="22"/>
      <c r="H222" s="25"/>
      <c r="I222" s="31"/>
      <c r="J222" s="31"/>
      <c r="K222" s="31"/>
      <c r="L222" s="25"/>
      <c r="M222" s="25"/>
      <c r="N222" s="25"/>
      <c r="O222" s="25"/>
      <c r="P222" s="31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B222" s="23"/>
      <c r="AC222" s="11"/>
    </row>
    <row r="223" spans="1:29" s="10" customFormat="1" x14ac:dyDescent="0.25">
      <c r="A223" s="19"/>
      <c r="B223" s="20"/>
      <c r="C223" s="20"/>
      <c r="D223" s="20"/>
      <c r="E223" s="27"/>
      <c r="F223" s="21"/>
      <c r="G223" s="22"/>
      <c r="H223" s="25"/>
      <c r="I223" s="31"/>
      <c r="J223" s="31"/>
      <c r="K223" s="31"/>
      <c r="L223" s="25"/>
      <c r="M223" s="25"/>
      <c r="N223" s="25"/>
      <c r="O223" s="25"/>
      <c r="P223" s="31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B223" s="23"/>
      <c r="AC223" s="11"/>
    </row>
    <row r="224" spans="1:29" s="10" customFormat="1" x14ac:dyDescent="0.25">
      <c r="A224" s="19"/>
      <c r="B224" s="20"/>
      <c r="C224" s="20"/>
      <c r="D224" s="20"/>
      <c r="E224" s="27"/>
      <c r="F224" s="21"/>
      <c r="G224" s="22"/>
      <c r="H224" s="25"/>
      <c r="I224" s="31"/>
      <c r="J224" s="31"/>
      <c r="K224" s="31"/>
      <c r="L224" s="25"/>
      <c r="M224" s="25"/>
      <c r="N224" s="25"/>
      <c r="O224" s="25"/>
      <c r="P224" s="31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B224" s="23"/>
      <c r="AC224" s="11"/>
    </row>
    <row r="225" spans="1:29" s="10" customFormat="1" x14ac:dyDescent="0.25">
      <c r="A225" s="19"/>
      <c r="B225" s="20"/>
      <c r="C225" s="20"/>
      <c r="D225" s="20"/>
      <c r="E225" s="27"/>
      <c r="F225" s="21"/>
      <c r="G225" s="22"/>
      <c r="H225" s="25"/>
      <c r="I225" s="31"/>
      <c r="J225" s="31"/>
      <c r="K225" s="31"/>
      <c r="L225" s="25"/>
      <c r="M225" s="25"/>
      <c r="N225" s="25"/>
      <c r="O225" s="25"/>
      <c r="P225" s="31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B225" s="23"/>
      <c r="AC225" s="11"/>
    </row>
    <row r="226" spans="1:29" s="10" customFormat="1" x14ac:dyDescent="0.25">
      <c r="A226" s="19"/>
      <c r="B226" s="20"/>
      <c r="C226" s="20"/>
      <c r="D226" s="20"/>
      <c r="E226" s="27"/>
      <c r="F226" s="21"/>
      <c r="G226" s="22"/>
      <c r="H226" s="25"/>
      <c r="I226" s="31"/>
      <c r="J226" s="31"/>
      <c r="K226" s="31"/>
      <c r="L226" s="25"/>
      <c r="M226" s="25"/>
      <c r="N226" s="25"/>
      <c r="O226" s="25"/>
      <c r="P226" s="31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B226" s="23"/>
      <c r="AC226" s="11"/>
    </row>
    <row r="227" spans="1:29" s="10" customFormat="1" x14ac:dyDescent="0.25">
      <c r="A227" s="19"/>
      <c r="B227" s="20"/>
      <c r="C227" s="20"/>
      <c r="D227" s="20"/>
      <c r="E227" s="27"/>
      <c r="F227" s="21"/>
      <c r="G227" s="22"/>
      <c r="H227" s="25"/>
      <c r="I227" s="31"/>
      <c r="J227" s="31"/>
      <c r="K227" s="31"/>
      <c r="L227" s="25"/>
      <c r="M227" s="25"/>
      <c r="N227" s="25"/>
      <c r="O227" s="25"/>
      <c r="P227" s="31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B227" s="23"/>
      <c r="AC227" s="11"/>
    </row>
    <row r="228" spans="1:29" s="10" customFormat="1" x14ac:dyDescent="0.25">
      <c r="A228" s="19"/>
      <c r="B228" s="20"/>
      <c r="C228" s="20"/>
      <c r="D228" s="20"/>
      <c r="E228" s="27"/>
      <c r="F228" s="21"/>
      <c r="G228" s="22"/>
      <c r="H228" s="25"/>
      <c r="I228" s="31"/>
      <c r="J228" s="31"/>
      <c r="K228" s="31"/>
      <c r="L228" s="25"/>
      <c r="M228" s="25"/>
      <c r="N228" s="25"/>
      <c r="O228" s="25"/>
      <c r="P228" s="31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B228" s="23"/>
      <c r="AC228" s="11"/>
    </row>
    <row r="229" spans="1:29" s="10" customFormat="1" x14ac:dyDescent="0.25">
      <c r="A229" s="19"/>
      <c r="B229" s="20"/>
      <c r="C229" s="20"/>
      <c r="D229" s="20"/>
      <c r="E229" s="27"/>
      <c r="F229" s="21"/>
      <c r="G229" s="22"/>
      <c r="H229" s="25"/>
      <c r="I229" s="31"/>
      <c r="J229" s="31"/>
      <c r="K229" s="31"/>
      <c r="L229" s="25"/>
      <c r="M229" s="25"/>
      <c r="N229" s="25"/>
      <c r="O229" s="25"/>
      <c r="P229" s="31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B229" s="23"/>
      <c r="AC229" s="11"/>
    </row>
    <row r="230" spans="1:29" s="10" customFormat="1" x14ac:dyDescent="0.25">
      <c r="A230" s="19"/>
      <c r="B230" s="20"/>
      <c r="C230" s="20"/>
      <c r="D230" s="20"/>
      <c r="E230" s="27"/>
      <c r="F230" s="21"/>
      <c r="G230" s="22"/>
      <c r="H230" s="25"/>
      <c r="I230" s="31"/>
      <c r="J230" s="31"/>
      <c r="K230" s="31"/>
      <c r="L230" s="25"/>
      <c r="M230" s="25"/>
      <c r="N230" s="25"/>
      <c r="O230" s="25"/>
      <c r="P230" s="31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B230" s="23"/>
      <c r="AC230" s="11"/>
    </row>
    <row r="231" spans="1:29" s="10" customFormat="1" x14ac:dyDescent="0.25">
      <c r="A231" s="19"/>
      <c r="B231" s="20"/>
      <c r="C231" s="20"/>
      <c r="D231" s="20"/>
      <c r="E231" s="27"/>
      <c r="F231" s="21"/>
      <c r="G231" s="22"/>
      <c r="H231" s="25"/>
      <c r="I231" s="31"/>
      <c r="J231" s="31"/>
      <c r="K231" s="31"/>
      <c r="L231" s="25"/>
      <c r="M231" s="25"/>
      <c r="N231" s="25"/>
      <c r="O231" s="25"/>
      <c r="P231" s="31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B231" s="23"/>
      <c r="AC231" s="11"/>
    </row>
    <row r="232" spans="1:29" s="10" customFormat="1" x14ac:dyDescent="0.25">
      <c r="A232" s="19"/>
      <c r="B232" s="20"/>
      <c r="C232" s="20"/>
      <c r="D232" s="20"/>
      <c r="E232" s="27"/>
      <c r="F232" s="21"/>
      <c r="G232" s="22"/>
      <c r="H232" s="25"/>
      <c r="I232" s="31"/>
      <c r="J232" s="31"/>
      <c r="K232" s="31"/>
      <c r="L232" s="25"/>
      <c r="M232" s="25"/>
      <c r="N232" s="25"/>
      <c r="O232" s="25"/>
      <c r="P232" s="31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B232" s="23"/>
      <c r="AC232" s="11"/>
    </row>
    <row r="233" spans="1:29" s="10" customFormat="1" x14ac:dyDescent="0.25">
      <c r="A233" s="19"/>
      <c r="B233" s="20"/>
      <c r="C233" s="20"/>
      <c r="D233" s="20"/>
      <c r="E233" s="27"/>
      <c r="F233" s="21"/>
      <c r="G233" s="22"/>
      <c r="H233" s="25"/>
      <c r="I233" s="31"/>
      <c r="J233" s="31"/>
      <c r="K233" s="31"/>
      <c r="L233" s="25"/>
      <c r="M233" s="25"/>
      <c r="N233" s="25"/>
      <c r="O233" s="25"/>
      <c r="P233" s="31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B233" s="23"/>
      <c r="AC233" s="11"/>
    </row>
    <row r="234" spans="1:29" s="10" customFormat="1" x14ac:dyDescent="0.25">
      <c r="A234" s="19"/>
      <c r="B234" s="20"/>
      <c r="C234" s="20"/>
      <c r="D234" s="20"/>
      <c r="E234" s="27"/>
      <c r="F234" s="21"/>
      <c r="G234" s="22"/>
      <c r="H234" s="25"/>
      <c r="I234" s="31"/>
      <c r="J234" s="31"/>
      <c r="K234" s="31"/>
      <c r="L234" s="25"/>
      <c r="M234" s="25"/>
      <c r="N234" s="25"/>
      <c r="O234" s="25"/>
      <c r="P234" s="31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B234" s="23"/>
      <c r="AC234" s="11"/>
    </row>
    <row r="235" spans="1:29" s="10" customFormat="1" x14ac:dyDescent="0.25">
      <c r="A235" s="19"/>
      <c r="B235" s="20"/>
      <c r="C235" s="20"/>
      <c r="D235" s="20"/>
      <c r="E235" s="27"/>
      <c r="F235" s="21"/>
      <c r="G235" s="22"/>
      <c r="H235" s="25"/>
      <c r="I235" s="31"/>
      <c r="J235" s="31"/>
      <c r="K235" s="31"/>
      <c r="L235" s="25"/>
      <c r="M235" s="25"/>
      <c r="N235" s="25"/>
      <c r="O235" s="25"/>
      <c r="P235" s="31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B235" s="23"/>
      <c r="AC235" s="11"/>
    </row>
    <row r="236" spans="1:29" s="10" customFormat="1" x14ac:dyDescent="0.25">
      <c r="A236" s="19"/>
      <c r="B236" s="20"/>
      <c r="C236" s="20"/>
      <c r="D236" s="20"/>
      <c r="E236" s="27"/>
      <c r="F236" s="21"/>
      <c r="G236" s="22"/>
      <c r="H236" s="25"/>
      <c r="I236" s="31"/>
      <c r="J236" s="31"/>
      <c r="K236" s="31"/>
      <c r="L236" s="25"/>
      <c r="M236" s="25"/>
      <c r="N236" s="25"/>
      <c r="O236" s="25"/>
      <c r="P236" s="31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B236" s="23"/>
      <c r="AC236" s="11"/>
    </row>
    <row r="237" spans="1:29" s="10" customFormat="1" x14ac:dyDescent="0.25">
      <c r="A237" s="19"/>
      <c r="B237" s="20"/>
      <c r="C237" s="20"/>
      <c r="D237" s="20"/>
      <c r="E237" s="27"/>
      <c r="F237" s="21"/>
      <c r="G237" s="22"/>
      <c r="H237" s="25"/>
      <c r="I237" s="31"/>
      <c r="J237" s="31"/>
      <c r="K237" s="31"/>
      <c r="L237" s="25"/>
      <c r="M237" s="25"/>
      <c r="N237" s="25"/>
      <c r="O237" s="25"/>
      <c r="P237" s="31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B237" s="23"/>
      <c r="AC237" s="11"/>
    </row>
    <row r="238" spans="1:29" s="10" customFormat="1" x14ac:dyDescent="0.25">
      <c r="A238" s="19"/>
      <c r="B238" s="20"/>
      <c r="C238" s="20"/>
      <c r="D238" s="20"/>
      <c r="E238" s="27"/>
      <c r="F238" s="21"/>
      <c r="G238" s="22"/>
      <c r="H238" s="25"/>
      <c r="I238" s="31"/>
      <c r="J238" s="31"/>
      <c r="K238" s="31"/>
      <c r="L238" s="25"/>
      <c r="M238" s="25"/>
      <c r="N238" s="25"/>
      <c r="O238" s="25"/>
      <c r="P238" s="31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B238" s="23"/>
      <c r="AC238" s="11"/>
    </row>
    <row r="239" spans="1:29" s="10" customFormat="1" x14ac:dyDescent="0.25">
      <c r="A239" s="19"/>
      <c r="B239" s="20"/>
      <c r="C239" s="20"/>
      <c r="D239" s="20"/>
      <c r="E239" s="27"/>
      <c r="F239" s="21"/>
      <c r="G239" s="22"/>
      <c r="H239" s="25"/>
      <c r="I239" s="31"/>
      <c r="J239" s="31"/>
      <c r="K239" s="31"/>
      <c r="L239" s="25"/>
      <c r="M239" s="25"/>
      <c r="N239" s="25"/>
      <c r="O239" s="25"/>
      <c r="P239" s="31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B239" s="23"/>
      <c r="AC239" s="11"/>
    </row>
    <row r="240" spans="1:29" s="10" customFormat="1" x14ac:dyDescent="0.25">
      <c r="A240" s="19"/>
      <c r="B240" s="20"/>
      <c r="C240" s="20"/>
      <c r="D240" s="20"/>
      <c r="E240" s="27"/>
      <c r="F240" s="21"/>
      <c r="G240" s="22"/>
      <c r="H240" s="25"/>
      <c r="I240" s="31"/>
      <c r="J240" s="31"/>
      <c r="K240" s="31"/>
      <c r="L240" s="25"/>
      <c r="M240" s="25"/>
      <c r="N240" s="25"/>
      <c r="O240" s="25"/>
      <c r="P240" s="31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B240" s="23"/>
      <c r="AC240" s="11"/>
    </row>
    <row r="241" spans="1:29" s="10" customFormat="1" x14ac:dyDescent="0.25">
      <c r="A241" s="19"/>
      <c r="B241" s="20"/>
      <c r="C241" s="20"/>
      <c r="D241" s="20"/>
      <c r="E241" s="27"/>
      <c r="F241" s="21"/>
      <c r="G241" s="22"/>
      <c r="H241" s="25"/>
      <c r="I241" s="31"/>
      <c r="J241" s="31"/>
      <c r="K241" s="31"/>
      <c r="L241" s="25"/>
      <c r="M241" s="25"/>
      <c r="N241" s="25"/>
      <c r="O241" s="25"/>
      <c r="P241" s="31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B241" s="23"/>
      <c r="AC241" s="11"/>
    </row>
    <row r="242" spans="1:29" s="10" customFormat="1" x14ac:dyDescent="0.25">
      <c r="A242" s="19"/>
      <c r="B242" s="20"/>
      <c r="C242" s="20"/>
      <c r="D242" s="20"/>
      <c r="E242" s="27"/>
      <c r="F242" s="21"/>
      <c r="G242" s="22"/>
      <c r="H242" s="25"/>
      <c r="I242" s="31"/>
      <c r="J242" s="31"/>
      <c r="K242" s="31"/>
      <c r="L242" s="25"/>
      <c r="M242" s="25"/>
      <c r="N242" s="25"/>
      <c r="O242" s="25"/>
      <c r="P242" s="31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B242" s="23"/>
      <c r="AC242" s="11"/>
    </row>
    <row r="243" spans="1:29" s="10" customFormat="1" x14ac:dyDescent="0.25">
      <c r="A243" s="19"/>
      <c r="B243" s="20"/>
      <c r="C243" s="20"/>
      <c r="D243" s="20"/>
      <c r="E243" s="27"/>
      <c r="F243" s="21"/>
      <c r="G243" s="22"/>
      <c r="H243" s="25"/>
      <c r="I243" s="31"/>
      <c r="J243" s="31"/>
      <c r="K243" s="31"/>
      <c r="L243" s="25"/>
      <c r="M243" s="25"/>
      <c r="N243" s="25"/>
      <c r="O243" s="25"/>
      <c r="P243" s="31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B243" s="23"/>
      <c r="AC243" s="11"/>
    </row>
    <row r="244" spans="1:29" s="10" customFormat="1" x14ac:dyDescent="0.25">
      <c r="A244" s="19"/>
      <c r="B244" s="20"/>
      <c r="C244" s="20"/>
      <c r="D244" s="20"/>
      <c r="E244" s="27"/>
      <c r="F244" s="21"/>
      <c r="G244" s="22"/>
      <c r="H244" s="25"/>
      <c r="I244" s="31"/>
      <c r="J244" s="31"/>
      <c r="K244" s="31"/>
      <c r="L244" s="25"/>
      <c r="M244" s="25"/>
      <c r="N244" s="25"/>
      <c r="O244" s="25"/>
      <c r="P244" s="31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B244" s="23"/>
      <c r="AC244" s="11"/>
    </row>
    <row r="245" spans="1:29" s="10" customFormat="1" x14ac:dyDescent="0.25">
      <c r="A245" s="19"/>
      <c r="B245" s="20"/>
      <c r="C245" s="20"/>
      <c r="D245" s="20"/>
      <c r="E245" s="27"/>
      <c r="F245" s="21"/>
      <c r="G245" s="22"/>
      <c r="H245" s="25"/>
      <c r="I245" s="31"/>
      <c r="J245" s="31"/>
      <c r="K245" s="31"/>
      <c r="L245" s="25"/>
      <c r="M245" s="25"/>
      <c r="N245" s="25"/>
      <c r="O245" s="25"/>
      <c r="P245" s="31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B245" s="23"/>
      <c r="AC245" s="11"/>
    </row>
    <row r="246" spans="1:29" s="10" customFormat="1" x14ac:dyDescent="0.25">
      <c r="A246" s="19"/>
      <c r="B246" s="20"/>
      <c r="C246" s="20"/>
      <c r="D246" s="20"/>
      <c r="E246" s="27"/>
      <c r="F246" s="21"/>
      <c r="G246" s="22"/>
      <c r="H246" s="25"/>
      <c r="I246" s="31"/>
      <c r="J246" s="31"/>
      <c r="K246" s="31"/>
      <c r="L246" s="25"/>
      <c r="M246" s="25"/>
      <c r="N246" s="25"/>
      <c r="O246" s="25"/>
      <c r="P246" s="31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B246" s="23"/>
      <c r="AC246" s="11"/>
    </row>
    <row r="247" spans="1:29" s="10" customFormat="1" x14ac:dyDescent="0.25">
      <c r="A247" s="19"/>
      <c r="B247" s="20"/>
      <c r="C247" s="20"/>
      <c r="D247" s="20"/>
      <c r="E247" s="27"/>
      <c r="F247" s="21"/>
      <c r="G247" s="22"/>
      <c r="H247" s="25"/>
      <c r="I247" s="31"/>
      <c r="J247" s="31"/>
      <c r="K247" s="31"/>
      <c r="L247" s="25"/>
      <c r="M247" s="25"/>
      <c r="N247" s="25"/>
      <c r="O247" s="25"/>
      <c r="P247" s="31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B247" s="23"/>
      <c r="AC247" s="11"/>
    </row>
    <row r="248" spans="1:29" s="10" customFormat="1" x14ac:dyDescent="0.25">
      <c r="A248" s="19"/>
      <c r="B248" s="20"/>
      <c r="C248" s="20"/>
      <c r="D248" s="20"/>
      <c r="E248" s="27"/>
      <c r="F248" s="21"/>
      <c r="G248" s="22"/>
      <c r="H248" s="25"/>
      <c r="I248" s="31"/>
      <c r="J248" s="31"/>
      <c r="K248" s="31"/>
      <c r="L248" s="25"/>
      <c r="M248" s="25"/>
      <c r="N248" s="25"/>
      <c r="O248" s="25"/>
      <c r="P248" s="31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B248" s="23"/>
      <c r="AC248" s="11"/>
    </row>
    <row r="249" spans="1:29" s="10" customFormat="1" x14ac:dyDescent="0.25">
      <c r="A249" s="19"/>
      <c r="B249" s="20"/>
      <c r="C249" s="20"/>
      <c r="D249" s="20"/>
      <c r="E249" s="27"/>
      <c r="F249" s="21"/>
      <c r="G249" s="22"/>
      <c r="H249" s="25"/>
      <c r="I249" s="31"/>
      <c r="J249" s="31"/>
      <c r="K249" s="31"/>
      <c r="L249" s="25"/>
      <c r="M249" s="25"/>
      <c r="N249" s="25"/>
      <c r="O249" s="25"/>
      <c r="P249" s="31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B249" s="23"/>
      <c r="AC249" s="11"/>
    </row>
    <row r="250" spans="1:29" s="10" customFormat="1" x14ac:dyDescent="0.25">
      <c r="A250" s="19"/>
      <c r="B250" s="20"/>
      <c r="C250" s="20"/>
      <c r="D250" s="20"/>
      <c r="E250" s="27"/>
      <c r="F250" s="21"/>
      <c r="G250" s="22"/>
      <c r="H250" s="25"/>
      <c r="I250" s="31"/>
      <c r="J250" s="31"/>
      <c r="K250" s="31"/>
      <c r="L250" s="25"/>
      <c r="M250" s="25"/>
      <c r="N250" s="25"/>
      <c r="O250" s="25"/>
      <c r="P250" s="31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B250" s="23"/>
      <c r="AC250" s="11"/>
    </row>
  </sheetData>
  <autoFilter ref="A1:AE62" xr:uid="{00000000-0009-0000-0000-000001000000}">
    <sortState xmlns:xlrd2="http://schemas.microsoft.com/office/spreadsheetml/2017/richdata2" ref="A2:AE62">
      <sortCondition ref="E1:E62"/>
    </sortState>
  </autoFilter>
  <conditionalFormatting sqref="E1:E3 E251:E1048576 E67 E71 E75 E79 E83 E87 E91 E95 E99 E103 E107 E111 E115 E119 E123 E127 E131 E135 E139 E143 E147 E151 E155 E159 E163 E167 E171">
    <cfRule type="duplicateValues" dxfId="187" priority="55"/>
  </conditionalFormatting>
  <conditionalFormatting sqref="E4 E68 E72 E76 E80 E84 E88 E92 E96 E100 E104 E108 E112 E116 E120 E124 E128 E132 E136 E140 E144 E148 E152 E156 E160 E164 E168 E172">
    <cfRule type="duplicateValues" dxfId="186" priority="48"/>
  </conditionalFormatting>
  <conditionalFormatting sqref="E69:E70 E73:E74 E77:E78 E81:E82 E85:E86 E89:E90 E93:E94 E97:E98 E101:E102 E105:E106 E109:E110 E113:E114 E117:E118 E121:E122 E125:E126 E129:E130 E133:E134 E137:E138 E141:E142 E145:E146 E149:E150 E153:E154 E157:E158 E161:E162 E165:E166 E169:E170 E173">
    <cfRule type="duplicateValues" dxfId="185" priority="44"/>
  </conditionalFormatting>
  <conditionalFormatting sqref="B3:D3">
    <cfRule type="beginsWith" dxfId="184" priority="72" operator="beginsWith" text="[K_">
      <formula>LEFT(#REF!,LEN("[K_"))="[K_"</formula>
    </cfRule>
  </conditionalFormatting>
  <conditionalFormatting sqref="H4 B4:D4">
    <cfRule type="beginsWith" dxfId="183" priority="50" operator="beginsWith" text="[K_">
      <formula>LEFT(#REF!,LEN("[K_"))="[K_"</formula>
    </cfRule>
  </conditionalFormatting>
  <conditionalFormatting sqref="B63:D173 H67:H173">
    <cfRule type="beginsWith" dxfId="182" priority="46" operator="beginsWith" text="[K_">
      <formula>LEFT(#REF!,LEN("[K_"))="[K_"</formula>
    </cfRule>
  </conditionalFormatting>
  <conditionalFormatting sqref="E174:E250">
    <cfRule type="duplicateValues" dxfId="181" priority="40"/>
  </conditionalFormatting>
  <conditionalFormatting sqref="H174:H250 B174:D250">
    <cfRule type="beginsWith" dxfId="180" priority="41" operator="beginsWith" text="[K_">
      <formula>LEFT(#REF!,LEN("[K_"))="[K_"</formula>
    </cfRule>
  </conditionalFormatting>
  <conditionalFormatting sqref="E5:E60">
    <cfRule type="duplicateValues" dxfId="179" priority="37"/>
  </conditionalFormatting>
  <conditionalFormatting sqref="B5:D60 H5:H60">
    <cfRule type="beginsWith" dxfId="178" priority="39" operator="beginsWith" text="[K_">
      <formula>LEFT(#REF!,LEN("[K_"))="[K_"</formula>
    </cfRule>
  </conditionalFormatting>
  <conditionalFormatting sqref="E61:E62">
    <cfRule type="duplicateValues" dxfId="177" priority="34"/>
  </conditionalFormatting>
  <conditionalFormatting sqref="H61:H62 B61:D62">
    <cfRule type="beginsWith" dxfId="176" priority="36" operator="beginsWith" text="[K_">
      <formula>LEFT(#REF!,LEN("[K_"))="[K_"</formula>
    </cfRule>
  </conditionalFormatting>
  <conditionalFormatting sqref="F1:F1048576">
    <cfRule type="duplicateValues" dxfId="175" priority="31"/>
  </conditionalFormatting>
  <conditionalFormatting sqref="M61:N62">
    <cfRule type="beginsWith" dxfId="174" priority="17" operator="beginsWith" text="[K_">
      <formula>LEFT(#REF!,LEN("[K_"))="[K_"</formula>
    </cfRule>
  </conditionalFormatting>
  <conditionalFormatting sqref="J1:K1">
    <cfRule type="beginsWith" dxfId="173" priority="29" operator="beginsWith" text="[K_">
      <formula>LEFT(J1,LEN("[K_"))="[K_"</formula>
    </cfRule>
  </conditionalFormatting>
  <conditionalFormatting sqref="L3">
    <cfRule type="beginsWith" dxfId="172" priority="28" operator="beginsWith" text="[K_">
      <formula>LEFT(#REF!,LEN("[K_"))="[K_"</formula>
    </cfRule>
  </conditionalFormatting>
  <conditionalFormatting sqref="L4">
    <cfRule type="beginsWith" dxfId="171" priority="27" operator="beginsWith" text="[K_">
      <formula>LEFT(#REF!,LEN("[K_"))="[K_"</formula>
    </cfRule>
  </conditionalFormatting>
  <conditionalFormatting sqref="L67:L173">
    <cfRule type="beginsWith" dxfId="170" priority="26" operator="beginsWith" text="[K_">
      <formula>LEFT(#REF!,LEN("[K_"))="[K_"</formula>
    </cfRule>
  </conditionalFormatting>
  <conditionalFormatting sqref="L174:L250">
    <cfRule type="beginsWith" dxfId="169" priority="25" operator="beginsWith" text="[K_">
      <formula>LEFT(#REF!,LEN("[K_"))="[K_"</formula>
    </cfRule>
  </conditionalFormatting>
  <conditionalFormatting sqref="L5:L60">
    <cfRule type="beginsWith" dxfId="168" priority="24" operator="beginsWith" text="[K_">
      <formula>LEFT(#REF!,LEN("[K_"))="[K_"</formula>
    </cfRule>
  </conditionalFormatting>
  <conditionalFormatting sqref="L61:L62">
    <cfRule type="beginsWith" dxfId="167" priority="23" operator="beginsWith" text="[K_">
      <formula>LEFT(#REF!,LEN("[K_"))="[K_"</formula>
    </cfRule>
  </conditionalFormatting>
  <conditionalFormatting sqref="M3:N3">
    <cfRule type="beginsWith" dxfId="166" priority="22" operator="beginsWith" text="[K_">
      <formula>LEFT(#REF!,LEN("[K_"))="[K_"</formula>
    </cfRule>
  </conditionalFormatting>
  <conditionalFormatting sqref="M4:N4">
    <cfRule type="beginsWith" dxfId="165" priority="21" operator="beginsWith" text="[K_">
      <formula>LEFT(#REF!,LEN("[K_"))="[K_"</formula>
    </cfRule>
  </conditionalFormatting>
  <conditionalFormatting sqref="M67:N173">
    <cfRule type="beginsWith" dxfId="164" priority="20" operator="beginsWith" text="[K_">
      <formula>LEFT(#REF!,LEN("[K_"))="[K_"</formula>
    </cfRule>
  </conditionalFormatting>
  <conditionalFormatting sqref="M174:N250">
    <cfRule type="beginsWith" dxfId="163" priority="19" operator="beginsWith" text="[K_">
      <formula>LEFT(#REF!,LEN("[K_"))="[K_"</formula>
    </cfRule>
  </conditionalFormatting>
  <conditionalFormatting sqref="M5:N60">
    <cfRule type="beginsWith" dxfId="162" priority="18" operator="beginsWith" text="[K_">
      <formula>LEFT(#REF!,LEN("[K_"))="[K_"</formula>
    </cfRule>
  </conditionalFormatting>
  <conditionalFormatting sqref="O61:O62">
    <cfRule type="beginsWith" dxfId="161" priority="11" operator="beginsWith" text="[K_">
      <formula>LEFT(#REF!,LEN("[K_"))="[K_"</formula>
    </cfRule>
  </conditionalFormatting>
  <conditionalFormatting sqref="O3">
    <cfRule type="beginsWith" dxfId="160" priority="16" operator="beginsWith" text="[K_">
      <formula>LEFT(#REF!,LEN("[K_"))="[K_"</formula>
    </cfRule>
  </conditionalFormatting>
  <conditionalFormatting sqref="O4">
    <cfRule type="beginsWith" dxfId="159" priority="15" operator="beginsWith" text="[K_">
      <formula>LEFT(#REF!,LEN("[K_"))="[K_"</formula>
    </cfRule>
  </conditionalFormatting>
  <conditionalFormatting sqref="O67:O173">
    <cfRule type="beginsWith" dxfId="158" priority="14" operator="beginsWith" text="[K_">
      <formula>LEFT(#REF!,LEN("[K_"))="[K_"</formula>
    </cfRule>
  </conditionalFormatting>
  <conditionalFormatting sqref="O174:O250">
    <cfRule type="beginsWith" dxfId="157" priority="13" operator="beginsWith" text="[K_">
      <formula>LEFT(#REF!,LEN("[K_"))="[K_"</formula>
    </cfRule>
  </conditionalFormatting>
  <conditionalFormatting sqref="O5:O60">
    <cfRule type="beginsWith" dxfId="156" priority="12" operator="beginsWith" text="[K_">
      <formula>LEFT(#REF!,LEN("[K_"))="[K_"</formula>
    </cfRule>
  </conditionalFormatting>
  <conditionalFormatting sqref="S62:Y62">
    <cfRule type="beginsWith" dxfId="155" priority="5" operator="beginsWith" text="[K_">
      <formula>LEFT(#REF!,LEN("[K_"))="[K_"</formula>
    </cfRule>
  </conditionalFormatting>
  <conditionalFormatting sqref="Q3:Z3">
    <cfRule type="beginsWith" dxfId="154" priority="10" operator="beginsWith" text="[K_">
      <formula>LEFT(#REF!,LEN("[K_"))="[K_"</formula>
    </cfRule>
  </conditionalFormatting>
  <conditionalFormatting sqref="Q67:Z173">
    <cfRule type="beginsWith" dxfId="153" priority="8" operator="beginsWith" text="[K_">
      <formula>LEFT(#REF!,LEN("[K_"))="[K_"</formula>
    </cfRule>
  </conditionalFormatting>
  <conditionalFormatting sqref="Q174:Z250">
    <cfRule type="beginsWith" dxfId="152" priority="7" operator="beginsWith" text="[K_">
      <formula>LEFT(#REF!,LEN("[K_"))="[K_"</formula>
    </cfRule>
  </conditionalFormatting>
  <conditionalFormatting sqref="S4:Y61">
    <cfRule type="beginsWith" dxfId="151" priority="4" operator="beginsWith" text="[K_">
      <formula>LEFT(#REF!,LEN("[K_"))="[K_"</formula>
    </cfRule>
  </conditionalFormatting>
  <conditionalFormatting sqref="Q4:R62">
    <cfRule type="beginsWith" dxfId="150" priority="3" operator="beginsWith" text="[K_">
      <formula>LEFT(#REF!,LEN("[K_"))="[K_"</formula>
    </cfRule>
  </conditionalFormatting>
  <conditionalFormatting sqref="Z4:Z62">
    <cfRule type="beginsWith" dxfId="149" priority="2" operator="beginsWith" text="[K_">
      <formula>LEFT(#REF!,LEN("[K_"))="[K_"</formula>
    </cfRule>
  </conditionalFormatting>
  <conditionalFormatting sqref="I1">
    <cfRule type="beginsWith" dxfId="0" priority="1" operator="beginsWith" text="[K_">
      <formula>LEFT(I1,LEN("[K_"))="[K_"</formula>
    </cfRule>
  </conditionalFormatting>
  <hyperlinks>
    <hyperlink ref="S47" r:id="rId1" xr:uid="{95EC5B5C-3F67-41D9-98A5-9F61FC1D576D}"/>
    <hyperlink ref="S57" r:id="rId2" xr:uid="{1DF27F80-926A-4F1C-B6C6-CC2BFD2B145E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AF21-42A0-44A5-B71F-1139A9B7FFCA}">
  <dimension ref="A1:Q208"/>
  <sheetViews>
    <sheetView zoomScaleNormal="100"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J32" sqref="J32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25.85546875" style="15" bestFit="1" customWidth="1"/>
    <col min="6" max="6" width="36.140625" style="9" bestFit="1" customWidth="1"/>
    <col min="7" max="7" width="41" style="9" bestFit="1" customWidth="1"/>
    <col min="8" max="8" width="16.28515625" style="26" customWidth="1"/>
    <col min="9" max="10" width="24.42578125" style="31" customWidth="1"/>
    <col min="11" max="12" width="29.140625" style="26" bestFit="1" customWidth="1"/>
    <col min="13" max="13" width="17.140625" customWidth="1"/>
    <col min="14" max="14" width="25.28515625" customWidth="1"/>
    <col min="15" max="15" width="17.42578125" style="12" customWidth="1"/>
  </cols>
  <sheetData>
    <row r="1" spans="1:17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493</v>
      </c>
      <c r="F1" t="s">
        <v>871</v>
      </c>
      <c r="G1" t="s">
        <v>872</v>
      </c>
      <c r="H1" t="s">
        <v>500</v>
      </c>
      <c r="I1" t="s">
        <v>501</v>
      </c>
      <c r="J1" t="s">
        <v>873</v>
      </c>
      <c r="K1" t="s">
        <v>874</v>
      </c>
      <c r="L1" t="s">
        <v>875</v>
      </c>
      <c r="N1" s="18" t="s">
        <v>9</v>
      </c>
      <c r="O1" s="18" t="str">
        <f>TABLE!A1</f>
        <v>PG_CI_CUSTOMER</v>
      </c>
      <c r="P1" s="18" t="s">
        <v>6</v>
      </c>
      <c r="Q1" s="18" t="str">
        <f>CONCATENATE($N$1,$O$1,$P$1,B3, ", ", C3, ", ", D3, ", ", )</f>
        <v xml:space="preserve">EXECUTE [dbo].[PG_CI_CUSTOMER] 0, 0, 0, </v>
      </c>
    </row>
    <row r="2" spans="1:17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14" t="s">
        <v>7</v>
      </c>
      <c r="J2" s="14" t="s">
        <v>7</v>
      </c>
      <c r="K2" s="24" t="s">
        <v>7</v>
      </c>
      <c r="L2" s="24"/>
      <c r="M2" s="1"/>
      <c r="N2" s="2" t="str">
        <f>"-- =========================================================="</f>
        <v>-- ==========================================================</v>
      </c>
      <c r="P2" s="6"/>
      <c r="Q2" s="1"/>
    </row>
    <row r="3" spans="1:17" s="10" customFormat="1" x14ac:dyDescent="0.25">
      <c r="A3" s="19"/>
      <c r="B3" s="20">
        <v>0</v>
      </c>
      <c r="C3" s="20">
        <v>0</v>
      </c>
      <c r="D3" s="20">
        <v>0</v>
      </c>
      <c r="E3" s="27">
        <v>56</v>
      </c>
      <c r="F3" s="21">
        <v>1</v>
      </c>
      <c r="G3" t="s">
        <v>978</v>
      </c>
      <c r="H3" s="25" t="s">
        <v>696</v>
      </c>
      <c r="I3" s="31" t="s">
        <v>750</v>
      </c>
      <c r="J3" s="31" t="s">
        <v>979</v>
      </c>
      <c r="K3" t="s">
        <v>980</v>
      </c>
      <c r="L3" s="32">
        <v>1</v>
      </c>
      <c r="N3" s="23" t="str">
        <f>CONCATENATE(ADDRESS!$Q$1,E3,", '",F3,"', '",G3,"' , '",H3,"' , '",I3,"' , '",J3,"', '",K3,"', '",L3,"'")</f>
        <v>EXECUTE [dbo].[PG_CI_CUSTOMER] 0, 0, 0, 56, '1', 'DAIMAY AUTOMOTIVE INTERIOR, S DE R.L. DE' , 'AVE. CENZONTLE ESQ. HALCON' , 'CARRETERA MONCLOVA #7' , 'PARQUE INDUSTRIAL FINSA', 'RAMOS ARZIPE COAH', '1'</v>
      </c>
      <c r="O3" s="11"/>
    </row>
    <row r="4" spans="1:17" s="10" customFormat="1" x14ac:dyDescent="0.25">
      <c r="A4" s="19"/>
      <c r="B4" s="20">
        <v>0</v>
      </c>
      <c r="C4" s="20">
        <v>0</v>
      </c>
      <c r="D4" s="20">
        <v>0</v>
      </c>
      <c r="E4" s="27">
        <v>56</v>
      </c>
      <c r="F4" s="21">
        <v>2</v>
      </c>
      <c r="G4" t="s">
        <v>978</v>
      </c>
      <c r="H4" s="25" t="s">
        <v>696</v>
      </c>
      <c r="I4" s="31" t="s">
        <v>750</v>
      </c>
      <c r="J4" s="31" t="s">
        <v>979</v>
      </c>
      <c r="K4" t="s">
        <v>980</v>
      </c>
      <c r="L4" s="32">
        <v>1</v>
      </c>
      <c r="N4" s="23" t="str">
        <f>CONCATENATE(ADDRESS!$Q$1,E4,", '",F4,"', '",G4,"' , '",H4,"' , '",I4,"' , '",J4,"', '",K4,"', '",L4,"'")</f>
        <v>EXECUTE [dbo].[PG_CI_CUSTOMER] 0, 0, 0, 56, '2', 'DAIMAY AUTOMOTIVE INTERIOR, S DE R.L. DE' , 'AVE. CENZONTLE ESQ. HALCON' , 'CARRETERA MONCLOVA #7' , 'PARQUE INDUSTRIAL FINSA', 'RAMOS ARZIPE COAH', '1'</v>
      </c>
      <c r="O4" s="11"/>
    </row>
    <row r="5" spans="1:17" s="10" customFormat="1" x14ac:dyDescent="0.25">
      <c r="A5" s="19"/>
      <c r="B5" s="20">
        <v>0</v>
      </c>
      <c r="C5" s="20">
        <v>0</v>
      </c>
      <c r="D5" s="20">
        <v>0</v>
      </c>
      <c r="E5" s="27">
        <v>57</v>
      </c>
      <c r="F5" s="21">
        <v>1</v>
      </c>
      <c r="G5" t="s">
        <v>520</v>
      </c>
      <c r="H5" t="s">
        <v>698</v>
      </c>
      <c r="I5" t="s">
        <v>752</v>
      </c>
      <c r="J5" t="s">
        <v>981</v>
      </c>
      <c r="K5" s="32" t="s">
        <v>982</v>
      </c>
      <c r="L5" s="32">
        <v>1</v>
      </c>
      <c r="N5" s="23" t="str">
        <f>CONCATENATE(ADDRESS!$Q$1,E5,", '",F5,"', '",G5,"' , '",H5,"' , '",I5,"' , '",J5,"', '",K5,"', '",L5,"'")</f>
        <v>EXECUTE [dbo].[PG_CI_CUSTOMER] 0, 0, 0, 57, '1', 'Eissmann Automotive de Mexico' , 'Reforma Sur No. 27' , 'Nave 1' , 'Panzacola, 90796', 'MEXICO', '1'</v>
      </c>
      <c r="O5" s="11"/>
    </row>
    <row r="6" spans="1:17" s="10" customFormat="1" x14ac:dyDescent="0.25">
      <c r="A6" s="19"/>
      <c r="B6" s="20">
        <v>0</v>
      </c>
      <c r="C6" s="20">
        <v>0</v>
      </c>
      <c r="D6" s="20">
        <v>0</v>
      </c>
      <c r="E6" s="27">
        <v>57</v>
      </c>
      <c r="F6" s="21">
        <v>2</v>
      </c>
      <c r="G6" t="s">
        <v>520</v>
      </c>
      <c r="H6" t="s">
        <v>698</v>
      </c>
      <c r="I6" t="s">
        <v>752</v>
      </c>
      <c r="J6" t="s">
        <v>981</v>
      </c>
      <c r="K6" s="32" t="s">
        <v>982</v>
      </c>
      <c r="L6" s="32">
        <v>1</v>
      </c>
      <c r="N6" s="23" t="str">
        <f>CONCATENATE(ADDRESS!$Q$1,E6,", '",F6,"', '",G6,"' , '",H6,"' , '",I6,"' , '",J6,"', '",K6,"', '",L6,"'")</f>
        <v>EXECUTE [dbo].[PG_CI_CUSTOMER] 0, 0, 0, 57, '2', 'Eissmann Automotive de Mexico' , 'Reforma Sur No. 27' , 'Nave 1' , 'Panzacola, 90796', 'MEXICO', '1'</v>
      </c>
      <c r="O6" s="11"/>
    </row>
    <row r="7" spans="1:17" s="10" customFormat="1" x14ac:dyDescent="0.25">
      <c r="A7" s="19"/>
      <c r="B7" s="20">
        <v>0</v>
      </c>
      <c r="C7" s="20">
        <v>0</v>
      </c>
      <c r="D7" s="20">
        <v>0</v>
      </c>
      <c r="E7" s="27">
        <v>34</v>
      </c>
      <c r="F7" s="21">
        <v>1</v>
      </c>
      <c r="G7" t="s">
        <v>983</v>
      </c>
      <c r="H7" t="s">
        <v>984</v>
      </c>
      <c r="I7" t="s">
        <v>985</v>
      </c>
      <c r="J7" t="s">
        <v>986</v>
      </c>
      <c r="K7" s="32"/>
      <c r="L7" s="32">
        <v>1</v>
      </c>
      <c r="N7" s="23" t="str">
        <f>CONCATENATE(ADDRESS!$Q$1,E7,", '",F7,"', '",G7,"' , '",H7,"' , '",I7,"' , '",J7,"', '",K7,"', '",L7,"'")</f>
        <v>EXECUTE [dbo].[PG_CI_CUSTOMER] 0, 0, 0, 34, '1', 'Irvin Automotive Products, LLC' , '2A Fawcett Dr.' , 'Del Rio, TX 78840' , 'United States', '', '1'</v>
      </c>
      <c r="O7" s="11"/>
    </row>
    <row r="8" spans="1:17" s="10" customFormat="1" x14ac:dyDescent="0.25">
      <c r="A8" s="19"/>
      <c r="B8" s="20">
        <v>0</v>
      </c>
      <c r="C8" s="20">
        <v>0</v>
      </c>
      <c r="D8" s="20">
        <v>0</v>
      </c>
      <c r="E8" s="27">
        <v>34</v>
      </c>
      <c r="F8" s="21">
        <v>2</v>
      </c>
      <c r="G8" t="s">
        <v>983</v>
      </c>
      <c r="H8" t="s">
        <v>984</v>
      </c>
      <c r="I8" t="s">
        <v>985</v>
      </c>
      <c r="J8" t="s">
        <v>986</v>
      </c>
      <c r="K8" s="32"/>
      <c r="L8" s="32">
        <v>1</v>
      </c>
      <c r="N8" s="23" t="str">
        <f>CONCATENATE(ADDRESS!$Q$1,E8,", '",F8,"', '",G8,"' , '",H8,"' , '",I8,"' , '",J8,"', '",K8,"', '",L8,"'")</f>
        <v>EXECUTE [dbo].[PG_CI_CUSTOMER] 0, 0, 0, 34, '2', 'Irvin Automotive Products, LLC' , '2A Fawcett Dr.' , 'Del Rio, TX 78840' , 'United States', '', '1'</v>
      </c>
      <c r="O8" s="11"/>
    </row>
    <row r="9" spans="1:17" s="10" customFormat="1" x14ac:dyDescent="0.25">
      <c r="A9" s="19"/>
      <c r="B9" s="20">
        <v>0</v>
      </c>
      <c r="C9" s="20">
        <v>0</v>
      </c>
      <c r="D9" s="20">
        <v>0</v>
      </c>
      <c r="E9" s="27">
        <v>18</v>
      </c>
      <c r="F9" s="21">
        <v>1</v>
      </c>
      <c r="G9" t="s">
        <v>582</v>
      </c>
      <c r="H9" t="s">
        <v>724</v>
      </c>
      <c r="I9" t="s">
        <v>987</v>
      </c>
      <c r="J9" t="s">
        <v>988</v>
      </c>
      <c r="K9" t="s">
        <v>989</v>
      </c>
      <c r="L9" s="32">
        <v>1</v>
      </c>
      <c r="N9" s="23" t="str">
        <f>CONCATENATE(ADDRESS!$Q$1,E9,", '",F9,"', '",G9,"' , '",H9,"' , '",I9,"' , '",J9,"', '",K9,"', '",L9,"'")</f>
        <v>EXECUTE [dbo].[PG_CI_CUSTOMER] 0, 0, 0, 18, '1', 'MAGNA SEATING OF AMERICA INC' , '2199 SPUR 239' , 'MAILING TO: P.O. BOX 420699' , 'DEL RIO TX 78840', 'USA', '1'</v>
      </c>
      <c r="O9" s="11"/>
    </row>
    <row r="10" spans="1:17" s="10" customFormat="1" x14ac:dyDescent="0.25">
      <c r="A10" s="19"/>
      <c r="B10" s="20">
        <v>0</v>
      </c>
      <c r="C10" s="20">
        <v>0</v>
      </c>
      <c r="D10" s="20">
        <v>0</v>
      </c>
      <c r="E10" s="27">
        <v>18</v>
      </c>
      <c r="F10" s="21">
        <v>2</v>
      </c>
      <c r="G10" t="s">
        <v>582</v>
      </c>
      <c r="H10" t="s">
        <v>724</v>
      </c>
      <c r="I10" t="s">
        <v>987</v>
      </c>
      <c r="J10" t="s">
        <v>988</v>
      </c>
      <c r="K10" t="s">
        <v>989</v>
      </c>
      <c r="L10" s="32">
        <v>1</v>
      </c>
      <c r="N10" s="23" t="str">
        <f>CONCATENATE(ADDRESS!$Q$1,E10,", '",F10,"', '",G10,"' , '",H10,"' , '",I10,"' , '",J10,"', '",K10,"', '",L10,"'")</f>
        <v>EXECUTE [dbo].[PG_CI_CUSTOMER] 0, 0, 0, 18, '2', 'MAGNA SEATING OF AMERICA INC' , '2199 SPUR 239' , 'MAILING TO: P.O. BOX 420699' , 'DEL RIO TX 78840', 'USA', '1'</v>
      </c>
      <c r="O10" s="11"/>
    </row>
    <row r="11" spans="1:17" s="10" customFormat="1" x14ac:dyDescent="0.25">
      <c r="A11" s="19"/>
      <c r="B11" s="20">
        <v>0</v>
      </c>
      <c r="C11" s="20">
        <v>0</v>
      </c>
      <c r="D11" s="20">
        <v>0</v>
      </c>
      <c r="E11" s="27">
        <v>19</v>
      </c>
      <c r="F11" s="21">
        <v>1</v>
      </c>
      <c r="G11" s="21" t="s">
        <v>547</v>
      </c>
      <c r="H11" s="25" t="s">
        <v>724</v>
      </c>
      <c r="I11" s="31" t="s">
        <v>768</v>
      </c>
      <c r="J11" s="31" t="s">
        <v>990</v>
      </c>
      <c r="K11" s="32" t="s">
        <v>989</v>
      </c>
      <c r="L11" s="32">
        <v>1</v>
      </c>
      <c r="N11" s="23" t="str">
        <f>CONCATENATE(ADDRESS!$Q$1,E11,", '",F11,"', '",G11,"' , '",H11,"' , '",I11,"' , '",J11,"', '",K11,"', '",L11,"'")</f>
        <v>EXECUTE [dbo].[PG_CI_CUSTOMER] 0, 0, 0, 19, '1', 'SEATING SYS.OF ACUNA DIV INTIER AUTO' , '2199 SPUR 239' , 'P.O. BOX 420699' , 'DEL RIO, TX 78840', 'USA', '1'</v>
      </c>
      <c r="O11" s="11"/>
    </row>
    <row r="12" spans="1:17" s="10" customFormat="1" x14ac:dyDescent="0.25">
      <c r="A12" s="19"/>
      <c r="B12" s="20">
        <v>0</v>
      </c>
      <c r="C12" s="20">
        <v>0</v>
      </c>
      <c r="D12" s="20">
        <v>0</v>
      </c>
      <c r="E12" s="27">
        <v>19</v>
      </c>
      <c r="F12" s="21">
        <v>2</v>
      </c>
      <c r="G12" s="21" t="s">
        <v>547</v>
      </c>
      <c r="H12" s="25" t="s">
        <v>724</v>
      </c>
      <c r="I12" s="31" t="s">
        <v>768</v>
      </c>
      <c r="J12" s="31" t="s">
        <v>990</v>
      </c>
      <c r="K12" s="32" t="s">
        <v>989</v>
      </c>
      <c r="L12" s="32">
        <v>1</v>
      </c>
      <c r="N12" s="23" t="str">
        <f>CONCATENATE(ADDRESS!$Q$1,E12,", '",F12,"', '",G12,"' , '",H12,"' , '",I12,"' , '",J12,"', '",K12,"', '",L12,"'")</f>
        <v>EXECUTE [dbo].[PG_CI_CUSTOMER] 0, 0, 0, 19, '2', 'SEATING SYS.OF ACUNA DIV INTIER AUTO' , '2199 SPUR 239' , 'P.O. BOX 420699' , 'DEL RIO, TX 78840', 'USA', '1'</v>
      </c>
      <c r="O12" s="11"/>
    </row>
    <row r="13" spans="1:17" s="10" customFormat="1" x14ac:dyDescent="0.25">
      <c r="A13" s="19"/>
      <c r="B13" s="20">
        <v>0</v>
      </c>
      <c r="C13" s="20">
        <v>0</v>
      </c>
      <c r="D13" s="20">
        <v>0</v>
      </c>
      <c r="E13" s="27">
        <v>36</v>
      </c>
      <c r="F13" s="21">
        <v>1</v>
      </c>
      <c r="G13" s="21" t="s">
        <v>991</v>
      </c>
      <c r="H13" s="25" t="s">
        <v>992</v>
      </c>
      <c r="I13" t="s">
        <v>774</v>
      </c>
      <c r="J13" t="s">
        <v>993</v>
      </c>
      <c r="K13" s="32"/>
      <c r="L13" s="32">
        <v>1</v>
      </c>
      <c r="N13" s="23" t="str">
        <f>CONCATENATE(ADDRESS!$Q$1,E13,", '",F13,"', '",G13,"' , '",H13,"' , '",I13,"' , '",J13,"', '",K13,"', '",L13,"'")</f>
        <v>EXECUTE [dbo].[PG_CI_CUSTOMER] 0, 0, 0, 36, '1', 'SALTILLO INTERIOR TRIM SA DE CV' , 'AUTOPISTA SALTILLO-MONTERREY KM 11.50' , 'PARQUE INDUSTRIAL RAMOS ARIZPE' , 'COAHUILA, CP 25900', '', '1'</v>
      </c>
      <c r="O13" s="11"/>
    </row>
    <row r="14" spans="1:17" s="10" customFormat="1" x14ac:dyDescent="0.25">
      <c r="A14" s="19"/>
      <c r="B14" s="20">
        <v>0</v>
      </c>
      <c r="C14" s="20">
        <v>0</v>
      </c>
      <c r="D14" s="20">
        <v>0</v>
      </c>
      <c r="E14" s="27">
        <v>36</v>
      </c>
      <c r="F14" s="21">
        <v>2</v>
      </c>
      <c r="G14" s="21" t="s">
        <v>991</v>
      </c>
      <c r="H14" s="25" t="s">
        <v>992</v>
      </c>
      <c r="I14" t="s">
        <v>774</v>
      </c>
      <c r="J14" t="s">
        <v>993</v>
      </c>
      <c r="K14" s="32"/>
      <c r="L14" s="32">
        <v>1</v>
      </c>
      <c r="N14" s="23" t="str">
        <f>CONCATENATE(ADDRESS!$Q$1,E14,", '",F14,"', '",G14,"' , '",H14,"' , '",I14,"' , '",J14,"', '",K14,"', '",L14,"'")</f>
        <v>EXECUTE [dbo].[PG_CI_CUSTOMER] 0, 0, 0, 36, '2', 'SALTILLO INTERIOR TRIM SA DE CV' , 'AUTOPISTA SALTILLO-MONTERREY KM 11.50' , 'PARQUE INDUSTRIAL RAMOS ARIZPE' , 'COAHUILA, CP 25900', '', '1'</v>
      </c>
      <c r="O14" s="11"/>
    </row>
    <row r="15" spans="1:17" s="10" customFormat="1" x14ac:dyDescent="0.25">
      <c r="A15" s="19"/>
      <c r="B15" s="20">
        <v>0</v>
      </c>
      <c r="C15" s="20">
        <v>0</v>
      </c>
      <c r="D15" s="20">
        <v>0</v>
      </c>
      <c r="E15" s="27">
        <v>55</v>
      </c>
      <c r="F15" s="21">
        <v>1</v>
      </c>
      <c r="G15" t="s">
        <v>566</v>
      </c>
      <c r="H15" t="s">
        <v>994</v>
      </c>
      <c r="I15" t="s">
        <v>995</v>
      </c>
      <c r="J15" s="31"/>
      <c r="K15" s="32"/>
      <c r="L15" s="32">
        <v>1</v>
      </c>
      <c r="N15" s="23" t="str">
        <f>CONCATENATE(ADDRESS!$Q$1,E15,", '",F15,"', '",G15,"' , '",H15,"' , '",I15,"' , '",J15,"', '",K15,"', '",L15,"'")</f>
        <v>EXECUTE [dbo].[PG_CI_CUSTOMER] 0, 0, 0, 55, '1', 'WPI' , '845 PROGRESS CT. WILLIAMSTON, MI 48895' , 'WILLIAMSTON, MI' , '', '', '1'</v>
      </c>
      <c r="O15" s="11"/>
    </row>
    <row r="16" spans="1:17" s="10" customFormat="1" x14ac:dyDescent="0.25">
      <c r="A16" s="19"/>
      <c r="B16" s="20">
        <v>0</v>
      </c>
      <c r="C16" s="20">
        <v>0</v>
      </c>
      <c r="D16" s="20">
        <v>0</v>
      </c>
      <c r="E16" s="27">
        <v>55</v>
      </c>
      <c r="F16" s="21">
        <v>2</v>
      </c>
      <c r="G16" t="s">
        <v>566</v>
      </c>
      <c r="H16" t="s">
        <v>994</v>
      </c>
      <c r="I16" t="s">
        <v>995</v>
      </c>
      <c r="J16" s="31"/>
      <c r="K16" s="32"/>
      <c r="L16" s="32">
        <v>1</v>
      </c>
      <c r="N16" s="23" t="str">
        <f>CONCATENATE(ADDRESS!$Q$1,E16,", '",F16,"', '",G16,"' , '",H16,"' , '",I16,"' , '",J16,"', '",K16,"', '",L16,"'")</f>
        <v>EXECUTE [dbo].[PG_CI_CUSTOMER] 0, 0, 0, 55, '2', 'WPI' , '845 PROGRESS CT. WILLIAMSTON, MI 48895' , 'WILLIAMSTON, MI' , '', '', '1'</v>
      </c>
      <c r="O16" s="11"/>
    </row>
    <row r="17" spans="1:15" s="10" customFormat="1" x14ac:dyDescent="0.25">
      <c r="A17" s="19"/>
      <c r="B17" s="20">
        <v>0</v>
      </c>
      <c r="C17" s="20">
        <v>0</v>
      </c>
      <c r="D17" s="20">
        <v>0</v>
      </c>
      <c r="E17" s="27">
        <v>53</v>
      </c>
      <c r="F17" s="21">
        <v>1</v>
      </c>
      <c r="G17" t="s">
        <v>974</v>
      </c>
      <c r="H17" t="s">
        <v>975</v>
      </c>
      <c r="I17" t="s">
        <v>976</v>
      </c>
      <c r="J17" t="s">
        <v>977</v>
      </c>
      <c r="K17" s="32"/>
      <c r="L17" s="32">
        <v>1</v>
      </c>
      <c r="N17" s="23" t="str">
        <f>CONCATENATE(ADDRESS!$Q$1,E17,", '",F17,"', '",G17,"' , '",H17,"' , '",I17,"' , '",J17,"', '",K17,"', '",L17,"'")</f>
        <v>EXECUTE [dbo].[PG_CI_CUSTOMER] 0, 0, 0, 53, '1', 'Yanfeng Mexico' , 'PO BOX 7148' , '48376 Novi MI' , 'UNITED STATES', '', '1'</v>
      </c>
      <c r="O17" s="11"/>
    </row>
    <row r="18" spans="1:15" s="10" customFormat="1" x14ac:dyDescent="0.25">
      <c r="A18" s="19"/>
      <c r="B18" s="20">
        <v>0</v>
      </c>
      <c r="C18" s="20">
        <v>0</v>
      </c>
      <c r="D18" s="20">
        <v>0</v>
      </c>
      <c r="E18" s="27">
        <v>53</v>
      </c>
      <c r="F18" s="21">
        <v>2</v>
      </c>
      <c r="G18" t="s">
        <v>974</v>
      </c>
      <c r="H18" t="s">
        <v>975</v>
      </c>
      <c r="I18" t="s">
        <v>976</v>
      </c>
      <c r="J18" t="s">
        <v>977</v>
      </c>
      <c r="K18" s="32"/>
      <c r="L18" s="32">
        <v>1</v>
      </c>
      <c r="N18" s="23" t="str">
        <f>CONCATENATE(ADDRESS!$Q$1,E18,", '",F18,"', '",G18,"' , '",H18,"' , '",I18,"' , '",J18,"', '",K18,"', '",L18,"'")</f>
        <v>EXECUTE [dbo].[PG_CI_CUSTOMER] 0, 0, 0, 53, '2', 'Yanfeng Mexico' , 'PO BOX 7148' , '48376 Novi MI' , 'UNITED STATES', '', '1'</v>
      </c>
      <c r="O18" s="11"/>
    </row>
    <row r="19" spans="1:15" s="10" customFormat="1" x14ac:dyDescent="0.25">
      <c r="A19" s="19"/>
      <c r="B19" s="20">
        <v>0</v>
      </c>
      <c r="C19" s="20">
        <v>0</v>
      </c>
      <c r="D19" s="20">
        <v>0</v>
      </c>
      <c r="E19" s="27">
        <v>58</v>
      </c>
      <c r="F19" s="21">
        <v>1</v>
      </c>
      <c r="G19" t="s">
        <v>568</v>
      </c>
      <c r="H19" t="s">
        <v>743</v>
      </c>
      <c r="I19" s="38" t="s">
        <v>996</v>
      </c>
      <c r="J19" t="s">
        <v>997</v>
      </c>
      <c r="K19" t="s">
        <v>998</v>
      </c>
      <c r="L19" s="32">
        <v>1</v>
      </c>
      <c r="N19" s="23" t="str">
        <f>CONCATENATE(ADDRESS!$Q$1,E19,", '",F19,"', '",G19,"' , '",H19,"' , '",I19,"' , '",J19,"', '",K19,"', '",L19,"'")</f>
        <v>EXECUTE [dbo].[PG_CI_CUSTOMER] 0, 0, 0, 58, '1', 'YANGFENG AUTOMOTIVE INTERIOR SYSTEMS(THAILAND) CO.,LTD' , '700/20 WHA EASTERN SEABOARD INDUSTRIAL' , '1 M00 7 Tambol Khao Khan Song, Amphur Sriracha' , 'CHONBURI, 700/20', 'THAILAND TAX ID:0205562018045', '1'</v>
      </c>
      <c r="O19" s="11"/>
    </row>
    <row r="20" spans="1:15" s="10" customFormat="1" x14ac:dyDescent="0.25">
      <c r="A20" s="19"/>
      <c r="B20" s="20">
        <v>0</v>
      </c>
      <c r="C20" s="20">
        <v>0</v>
      </c>
      <c r="D20" s="20">
        <v>0</v>
      </c>
      <c r="E20" s="27">
        <v>58</v>
      </c>
      <c r="F20" s="21">
        <v>2</v>
      </c>
      <c r="G20" t="s">
        <v>568</v>
      </c>
      <c r="H20" t="s">
        <v>743</v>
      </c>
      <c r="I20" s="38" t="s">
        <v>996</v>
      </c>
      <c r="J20" t="s">
        <v>997</v>
      </c>
      <c r="K20" t="s">
        <v>998</v>
      </c>
      <c r="L20" s="32">
        <v>1</v>
      </c>
      <c r="N20" s="23" t="str">
        <f>CONCATENATE(ADDRESS!$Q$1,E20,", '",F20,"', '",G20,"' , '",H20,"' , '",I20,"' , '",J20,"', '",K20,"', '",L20,"'")</f>
        <v>EXECUTE [dbo].[PG_CI_CUSTOMER] 0, 0, 0, 58, '2', 'YANGFENG AUTOMOTIVE INTERIOR SYSTEMS(THAILAND) CO.,LTD' , '700/20 WHA EASTERN SEABOARD INDUSTRIAL' , '1 M00 7 Tambol Khao Khan Song, Amphur Sriracha' , 'CHONBURI, 700/20', 'THAILAND TAX ID:0205562018045', '1'</v>
      </c>
      <c r="O20" s="11"/>
    </row>
    <row r="21" spans="1:15" s="10" customFormat="1" ht="12" x14ac:dyDescent="0.25">
      <c r="A21" s="19"/>
      <c r="B21" s="20"/>
      <c r="C21" s="20"/>
      <c r="D21" s="20"/>
    </row>
    <row r="22" spans="1:15" s="10" customFormat="1" ht="12" x14ac:dyDescent="0.25">
      <c r="A22" s="19"/>
      <c r="B22" s="20"/>
      <c r="C22" s="20"/>
      <c r="D22" s="20"/>
    </row>
    <row r="23" spans="1:15" s="10" customFormat="1" ht="12" x14ac:dyDescent="0.25">
      <c r="A23" s="19"/>
      <c r="B23" s="20"/>
      <c r="C23" s="20"/>
      <c r="D23" s="20"/>
    </row>
    <row r="24" spans="1:15" s="10" customFormat="1" ht="12" x14ac:dyDescent="0.25">
      <c r="A24" s="19"/>
      <c r="B24" s="20"/>
      <c r="C24" s="20"/>
      <c r="D24" s="20"/>
    </row>
    <row r="25" spans="1:15" s="10" customFormat="1" x14ac:dyDescent="0.25">
      <c r="A25" s="19"/>
      <c r="B25" s="20"/>
      <c r="C25" s="20"/>
      <c r="D25" s="20"/>
      <c r="E25" s="27"/>
      <c r="F25" s="21"/>
      <c r="G25" s="22"/>
      <c r="H25" s="25"/>
      <c r="I25" s="31"/>
      <c r="J25" s="31"/>
      <c r="K25" s="25"/>
      <c r="L25" s="25"/>
      <c r="N25" s="23"/>
      <c r="O25" s="11"/>
    </row>
    <row r="26" spans="1:15" s="10" customFormat="1" x14ac:dyDescent="0.25">
      <c r="A26" s="19"/>
      <c r="B26" s="20"/>
      <c r="C26" s="20"/>
      <c r="D26" s="20"/>
      <c r="E26" s="27"/>
      <c r="F26" s="21"/>
      <c r="G26" s="22"/>
      <c r="H26" s="25"/>
      <c r="I26" s="31"/>
      <c r="J26" s="31"/>
      <c r="K26" s="25"/>
      <c r="L26" s="25"/>
      <c r="N26" s="23"/>
      <c r="O26" s="11"/>
    </row>
    <row r="27" spans="1:15" s="10" customFormat="1" x14ac:dyDescent="0.25">
      <c r="A27" s="19"/>
      <c r="B27" s="20"/>
      <c r="C27" s="20"/>
      <c r="D27" s="20"/>
      <c r="E27" s="27"/>
      <c r="F27" s="21"/>
      <c r="G27" s="22"/>
      <c r="H27" s="25"/>
      <c r="I27" s="31"/>
      <c r="J27" s="31"/>
      <c r="K27" s="25"/>
      <c r="L27" s="25"/>
      <c r="N27" s="23"/>
      <c r="O27" s="11"/>
    </row>
    <row r="28" spans="1:15" s="10" customFormat="1" x14ac:dyDescent="0.25">
      <c r="A28" s="19"/>
      <c r="B28" s="20"/>
      <c r="C28" s="20"/>
      <c r="D28" s="20"/>
      <c r="E28" s="27"/>
      <c r="F28" s="21"/>
      <c r="G28" s="22"/>
      <c r="H28" s="25"/>
      <c r="I28" s="31"/>
      <c r="J28" s="31"/>
      <c r="K28" s="25"/>
      <c r="L28" s="25"/>
      <c r="N28" s="23"/>
      <c r="O28" s="11"/>
    </row>
    <row r="29" spans="1:15" s="10" customFormat="1" x14ac:dyDescent="0.25">
      <c r="A29" s="19"/>
      <c r="B29" s="20"/>
      <c r="C29" s="20"/>
      <c r="D29" s="20"/>
      <c r="E29" s="27"/>
      <c r="F29" s="21"/>
      <c r="G29" s="22"/>
      <c r="H29" s="25"/>
      <c r="I29" s="31"/>
      <c r="J29" s="31"/>
      <c r="K29" s="25"/>
      <c r="L29" s="25"/>
      <c r="N29" s="23"/>
      <c r="O29" s="11"/>
    </row>
    <row r="30" spans="1:15" s="10" customFormat="1" x14ac:dyDescent="0.25">
      <c r="A30" s="19"/>
      <c r="B30" s="20"/>
      <c r="C30" s="20"/>
      <c r="D30" s="20"/>
      <c r="E30" s="27"/>
      <c r="F30" s="21"/>
      <c r="G30" s="22"/>
      <c r="H30" s="25"/>
      <c r="I30" s="31"/>
      <c r="J30" s="31"/>
      <c r="K30" s="25"/>
      <c r="L30" s="25"/>
      <c r="N30" s="23"/>
      <c r="O30" s="11"/>
    </row>
    <row r="31" spans="1:15" s="10" customFormat="1" x14ac:dyDescent="0.25">
      <c r="A31" s="19"/>
      <c r="B31" s="20"/>
      <c r="C31" s="20"/>
      <c r="D31" s="20"/>
      <c r="E31" s="27"/>
      <c r="F31" s="21"/>
      <c r="G31" s="22"/>
      <c r="H31" s="25"/>
      <c r="I31" s="31"/>
      <c r="J31" s="31"/>
      <c r="K31" s="25"/>
      <c r="L31" s="25"/>
      <c r="N31" s="23"/>
      <c r="O31" s="11"/>
    </row>
    <row r="32" spans="1:15" s="10" customFormat="1" x14ac:dyDescent="0.25">
      <c r="A32" s="19"/>
      <c r="B32" s="20"/>
      <c r="C32" s="20"/>
      <c r="D32" s="20"/>
      <c r="E32" s="27"/>
      <c r="F32" s="21"/>
      <c r="G32" s="22"/>
      <c r="H32" s="25"/>
      <c r="I32" s="31"/>
      <c r="J32" s="31"/>
      <c r="K32" s="25"/>
      <c r="L32" s="25"/>
      <c r="N32" s="23"/>
      <c r="O32" s="11"/>
    </row>
    <row r="33" spans="1:15" s="10" customFormat="1" x14ac:dyDescent="0.25">
      <c r="A33" s="19"/>
      <c r="B33" s="20"/>
      <c r="C33" s="20"/>
      <c r="D33" s="20"/>
      <c r="E33" s="27"/>
      <c r="F33" s="21"/>
      <c r="G33" s="22"/>
      <c r="H33" s="25"/>
      <c r="I33" s="31"/>
      <c r="J33" s="31"/>
      <c r="K33" s="25"/>
      <c r="L33" s="25"/>
      <c r="N33" s="23"/>
      <c r="O33" s="11"/>
    </row>
    <row r="34" spans="1:15" s="10" customFormat="1" x14ac:dyDescent="0.25">
      <c r="A34" s="19"/>
      <c r="B34" s="20"/>
      <c r="C34" s="20"/>
      <c r="D34" s="20"/>
      <c r="E34" s="27"/>
      <c r="F34" s="21"/>
      <c r="G34" s="22"/>
      <c r="H34" s="25"/>
      <c r="I34" s="31"/>
      <c r="J34" s="31"/>
      <c r="K34" s="25"/>
      <c r="L34" s="25"/>
      <c r="N34" s="23"/>
      <c r="O34" s="11"/>
    </row>
    <row r="35" spans="1:15" s="10" customFormat="1" x14ac:dyDescent="0.25">
      <c r="A35" s="19"/>
      <c r="B35" s="20"/>
      <c r="C35" s="20"/>
      <c r="D35" s="20"/>
      <c r="E35" s="27"/>
      <c r="F35" s="21"/>
      <c r="G35" s="22"/>
      <c r="H35" s="25"/>
      <c r="I35" s="31"/>
      <c r="J35" s="31"/>
      <c r="K35" s="25"/>
      <c r="L35" s="25"/>
      <c r="N35" s="23"/>
      <c r="O35" s="11"/>
    </row>
    <row r="36" spans="1:15" s="10" customFormat="1" x14ac:dyDescent="0.25">
      <c r="A36" s="19"/>
      <c r="B36" s="20"/>
      <c r="C36" s="20"/>
      <c r="D36" s="20"/>
      <c r="E36" s="27"/>
      <c r="F36" s="21"/>
      <c r="G36" s="22"/>
      <c r="H36" s="25"/>
      <c r="I36" s="31"/>
      <c r="J36" s="31"/>
      <c r="K36" s="25"/>
      <c r="L36" s="25"/>
      <c r="N36" s="23"/>
      <c r="O36" s="11"/>
    </row>
    <row r="37" spans="1:15" s="10" customFormat="1" x14ac:dyDescent="0.25">
      <c r="A37" s="19"/>
      <c r="B37" s="20"/>
      <c r="C37" s="20"/>
      <c r="D37" s="20"/>
      <c r="E37" s="27"/>
      <c r="F37" s="21"/>
      <c r="G37" s="22"/>
      <c r="H37" s="25"/>
      <c r="I37" s="31"/>
      <c r="J37" s="31"/>
      <c r="K37" s="25"/>
      <c r="L37" s="25"/>
      <c r="N37" s="23"/>
      <c r="O37" s="11"/>
    </row>
    <row r="38" spans="1:15" s="10" customFormat="1" x14ac:dyDescent="0.25">
      <c r="A38" s="19"/>
      <c r="B38" s="20"/>
      <c r="C38" s="20"/>
      <c r="D38" s="20"/>
      <c r="E38" s="27"/>
      <c r="F38" s="21"/>
      <c r="G38" s="22"/>
      <c r="H38" s="25"/>
      <c r="I38" s="31"/>
      <c r="J38" s="31"/>
      <c r="K38" s="25"/>
      <c r="L38" s="25"/>
      <c r="N38" s="23"/>
      <c r="O38" s="11"/>
    </row>
    <row r="39" spans="1:15" s="10" customFormat="1" x14ac:dyDescent="0.25">
      <c r="A39" s="19"/>
      <c r="B39" s="20"/>
      <c r="C39" s="20"/>
      <c r="D39" s="20"/>
      <c r="E39" s="27"/>
      <c r="F39" s="21"/>
      <c r="G39" s="22"/>
      <c r="H39" s="25"/>
      <c r="I39" s="31"/>
      <c r="J39" s="31"/>
      <c r="K39" s="25"/>
      <c r="L39" s="25"/>
      <c r="N39" s="23"/>
      <c r="O39" s="11"/>
    </row>
    <row r="40" spans="1:15" s="10" customFormat="1" x14ac:dyDescent="0.25">
      <c r="A40" s="19"/>
      <c r="B40" s="20"/>
      <c r="C40" s="20"/>
      <c r="D40" s="20"/>
      <c r="E40" s="27"/>
      <c r="F40" s="21"/>
      <c r="G40" s="22"/>
      <c r="H40" s="25"/>
      <c r="I40" s="31"/>
      <c r="J40" s="31"/>
      <c r="K40" s="25"/>
      <c r="L40" s="25"/>
      <c r="N40" s="23"/>
      <c r="O40" s="11"/>
    </row>
    <row r="41" spans="1:15" s="10" customFormat="1" x14ac:dyDescent="0.25">
      <c r="A41" s="19"/>
      <c r="B41" s="20"/>
      <c r="C41" s="20"/>
      <c r="D41" s="20"/>
      <c r="E41" s="27"/>
      <c r="F41" s="21"/>
      <c r="G41" s="22"/>
      <c r="H41" s="25"/>
      <c r="I41" s="31"/>
      <c r="J41" s="31"/>
      <c r="K41" s="25"/>
      <c r="L41" s="25"/>
      <c r="N41" s="23"/>
      <c r="O41" s="11"/>
    </row>
    <row r="42" spans="1:15" s="10" customFormat="1" x14ac:dyDescent="0.25">
      <c r="A42" s="19"/>
      <c r="B42" s="20"/>
      <c r="C42" s="20"/>
      <c r="D42" s="20"/>
      <c r="E42" s="27"/>
      <c r="F42" s="21"/>
      <c r="G42" s="22"/>
      <c r="H42" s="25"/>
      <c r="I42" s="31"/>
      <c r="J42" s="31"/>
      <c r="K42" s="25"/>
      <c r="L42" s="25"/>
      <c r="N42" s="23"/>
      <c r="O42" s="11"/>
    </row>
    <row r="43" spans="1:15" s="10" customFormat="1" x14ac:dyDescent="0.25">
      <c r="A43" s="19"/>
      <c r="B43" s="20"/>
      <c r="C43" s="20"/>
      <c r="D43" s="20"/>
      <c r="E43" s="27"/>
      <c r="F43" s="21"/>
      <c r="G43" s="22"/>
      <c r="H43" s="25"/>
      <c r="I43" s="31"/>
      <c r="J43" s="31"/>
      <c r="K43" s="25"/>
      <c r="L43" s="25"/>
      <c r="N43" s="23"/>
      <c r="O43" s="11"/>
    </row>
    <row r="44" spans="1:15" s="10" customFormat="1" x14ac:dyDescent="0.25">
      <c r="A44" s="19"/>
      <c r="B44" s="20"/>
      <c r="C44" s="20"/>
      <c r="D44" s="20"/>
      <c r="E44" s="27"/>
      <c r="F44" s="21"/>
      <c r="G44" s="22"/>
      <c r="H44" s="25"/>
      <c r="I44" s="31"/>
      <c r="J44" s="31"/>
      <c r="K44" s="25"/>
      <c r="L44" s="25"/>
      <c r="N44" s="23"/>
      <c r="O44" s="11"/>
    </row>
    <row r="45" spans="1:15" s="10" customFormat="1" x14ac:dyDescent="0.25">
      <c r="A45" s="19"/>
      <c r="B45" s="20"/>
      <c r="C45" s="20"/>
      <c r="D45" s="20"/>
      <c r="E45" s="27"/>
      <c r="F45" s="21"/>
      <c r="G45" s="22"/>
      <c r="H45" s="25"/>
      <c r="I45" s="31"/>
      <c r="J45" s="31"/>
      <c r="K45" s="25"/>
      <c r="L45" s="25"/>
      <c r="N45" s="23"/>
      <c r="O45" s="11"/>
    </row>
    <row r="46" spans="1:15" s="10" customFormat="1" x14ac:dyDescent="0.25">
      <c r="A46" s="19"/>
      <c r="B46" s="20"/>
      <c r="C46" s="20"/>
      <c r="D46" s="20"/>
      <c r="E46" s="27"/>
      <c r="F46" s="21"/>
      <c r="G46" s="22"/>
      <c r="H46" s="25"/>
      <c r="I46" s="31"/>
      <c r="J46" s="31"/>
      <c r="K46" s="25"/>
      <c r="L46" s="25"/>
      <c r="N46" s="23"/>
      <c r="O46" s="11"/>
    </row>
    <row r="47" spans="1:15" s="10" customFormat="1" x14ac:dyDescent="0.25">
      <c r="A47" s="19"/>
      <c r="B47" s="20"/>
      <c r="C47" s="20"/>
      <c r="D47" s="20"/>
      <c r="E47" s="27"/>
      <c r="F47" s="21"/>
      <c r="G47" s="22"/>
      <c r="H47" s="25"/>
      <c r="I47" s="31"/>
      <c r="J47" s="31"/>
      <c r="K47" s="25"/>
      <c r="L47" s="25"/>
      <c r="N47" s="23"/>
      <c r="O47" s="11"/>
    </row>
    <row r="48" spans="1:15" s="10" customFormat="1" x14ac:dyDescent="0.25">
      <c r="A48" s="19"/>
      <c r="B48" s="20"/>
      <c r="C48" s="20"/>
      <c r="D48" s="20"/>
      <c r="E48" s="27"/>
      <c r="F48" s="21"/>
      <c r="G48" s="22"/>
      <c r="H48" s="25"/>
      <c r="I48" s="31"/>
      <c r="J48" s="31"/>
      <c r="K48" s="25"/>
      <c r="L48" s="25"/>
      <c r="N48" s="23"/>
      <c r="O48" s="11"/>
    </row>
    <row r="49" spans="1:15" s="10" customFormat="1" x14ac:dyDescent="0.25">
      <c r="A49" s="19"/>
      <c r="B49" s="20"/>
      <c r="C49" s="20"/>
      <c r="D49" s="20"/>
      <c r="E49" s="27"/>
      <c r="F49" s="21"/>
      <c r="G49" s="22"/>
      <c r="H49" s="25"/>
      <c r="I49" s="31"/>
      <c r="J49" s="31"/>
      <c r="K49" s="25"/>
      <c r="L49" s="25"/>
      <c r="N49" s="23"/>
      <c r="O49" s="11"/>
    </row>
    <row r="50" spans="1:15" s="10" customFormat="1" x14ac:dyDescent="0.25">
      <c r="A50" s="19"/>
      <c r="B50" s="20"/>
      <c r="C50" s="20"/>
      <c r="D50" s="20"/>
      <c r="E50" s="27"/>
      <c r="F50" s="21"/>
      <c r="G50" s="22"/>
      <c r="H50" s="25"/>
      <c r="I50" s="31"/>
      <c r="J50" s="31"/>
      <c r="K50" s="25"/>
      <c r="L50" s="25"/>
      <c r="N50" s="23"/>
      <c r="O50" s="11"/>
    </row>
    <row r="51" spans="1:15" s="10" customFormat="1" x14ac:dyDescent="0.25">
      <c r="A51" s="19"/>
      <c r="B51" s="20"/>
      <c r="C51" s="20"/>
      <c r="D51" s="20"/>
      <c r="E51" s="27"/>
      <c r="F51" s="21"/>
      <c r="G51" s="22"/>
      <c r="H51" s="25"/>
      <c r="I51" s="31"/>
      <c r="J51" s="31"/>
      <c r="K51" s="25"/>
      <c r="L51" s="25"/>
      <c r="N51" s="23"/>
      <c r="O51" s="11"/>
    </row>
    <row r="52" spans="1:15" s="10" customFormat="1" x14ac:dyDescent="0.25">
      <c r="A52" s="19"/>
      <c r="B52" s="20"/>
      <c r="C52" s="20"/>
      <c r="D52" s="20"/>
      <c r="E52" s="27"/>
      <c r="F52" s="21"/>
      <c r="G52" s="22"/>
      <c r="H52" s="25"/>
      <c r="I52" s="31"/>
      <c r="J52" s="31"/>
      <c r="K52" s="25"/>
      <c r="L52" s="25"/>
      <c r="N52" s="23"/>
      <c r="O52" s="11"/>
    </row>
    <row r="53" spans="1:15" s="10" customFormat="1" x14ac:dyDescent="0.25">
      <c r="A53" s="19"/>
      <c r="B53" s="20"/>
      <c r="C53" s="20"/>
      <c r="D53" s="20"/>
      <c r="E53" s="27"/>
      <c r="F53" s="21"/>
      <c r="G53" s="22"/>
      <c r="H53" s="25"/>
      <c r="I53" s="31"/>
      <c r="J53" s="31"/>
      <c r="K53" s="25"/>
      <c r="L53" s="25"/>
      <c r="N53" s="23"/>
      <c r="O53" s="11"/>
    </row>
    <row r="54" spans="1:15" s="10" customFormat="1" x14ac:dyDescent="0.25">
      <c r="A54" s="19"/>
      <c r="B54" s="20"/>
      <c r="C54" s="20"/>
      <c r="D54" s="20"/>
      <c r="E54" s="27"/>
      <c r="F54" s="21"/>
      <c r="G54" s="22"/>
      <c r="H54" s="25"/>
      <c r="I54" s="31"/>
      <c r="J54" s="31"/>
      <c r="K54" s="25"/>
      <c r="L54" s="25"/>
      <c r="N54" s="23"/>
      <c r="O54" s="11"/>
    </row>
    <row r="55" spans="1:15" s="10" customFormat="1" x14ac:dyDescent="0.25">
      <c r="A55" s="19"/>
      <c r="B55" s="20"/>
      <c r="C55" s="20"/>
      <c r="D55" s="20"/>
      <c r="E55" s="27"/>
      <c r="F55" s="21"/>
      <c r="G55" s="22"/>
      <c r="H55" s="25"/>
      <c r="I55" s="31"/>
      <c r="J55" s="31"/>
      <c r="K55" s="25"/>
      <c r="L55" s="25"/>
      <c r="N55" s="23"/>
      <c r="O55" s="11"/>
    </row>
    <row r="56" spans="1:15" s="10" customFormat="1" x14ac:dyDescent="0.25">
      <c r="A56" s="19"/>
      <c r="B56" s="20"/>
      <c r="C56" s="20"/>
      <c r="D56" s="20"/>
      <c r="E56" s="27"/>
      <c r="F56" s="21"/>
      <c r="G56" s="22"/>
      <c r="H56" s="25"/>
      <c r="I56" s="31"/>
      <c r="J56" s="31"/>
      <c r="K56" s="25"/>
      <c r="L56" s="25"/>
      <c r="N56" s="23"/>
      <c r="O56" s="11"/>
    </row>
    <row r="57" spans="1:15" s="10" customFormat="1" x14ac:dyDescent="0.25">
      <c r="A57" s="19"/>
      <c r="B57" s="20"/>
      <c r="C57" s="20"/>
      <c r="D57" s="20"/>
      <c r="E57" s="27"/>
      <c r="F57" s="21"/>
      <c r="G57" s="22"/>
      <c r="H57" s="25"/>
      <c r="I57" s="31"/>
      <c r="J57" s="31"/>
      <c r="K57" s="25"/>
      <c r="L57" s="25"/>
      <c r="N57" s="23"/>
      <c r="O57" s="11"/>
    </row>
    <row r="58" spans="1:15" s="10" customFormat="1" x14ac:dyDescent="0.25">
      <c r="A58" s="19"/>
      <c r="B58" s="20"/>
      <c r="C58" s="20"/>
      <c r="D58" s="20"/>
      <c r="E58" s="27"/>
      <c r="F58" s="21"/>
      <c r="G58" s="22"/>
      <c r="H58" s="25"/>
      <c r="I58" s="31"/>
      <c r="J58" s="31"/>
      <c r="K58" s="25"/>
      <c r="L58" s="25"/>
      <c r="N58" s="23"/>
      <c r="O58" s="11"/>
    </row>
    <row r="59" spans="1:15" s="10" customFormat="1" x14ac:dyDescent="0.25">
      <c r="A59" s="19"/>
      <c r="B59" s="20"/>
      <c r="C59" s="20"/>
      <c r="D59" s="20"/>
      <c r="E59" s="27"/>
      <c r="F59" s="21"/>
      <c r="G59" s="22"/>
      <c r="H59" s="25"/>
      <c r="I59" s="31"/>
      <c r="J59" s="31"/>
      <c r="K59" s="25"/>
      <c r="L59" s="25"/>
      <c r="N59" s="23"/>
      <c r="O59" s="11"/>
    </row>
    <row r="60" spans="1:15" s="10" customFormat="1" x14ac:dyDescent="0.25">
      <c r="A60" s="19"/>
      <c r="B60" s="20"/>
      <c r="C60" s="20"/>
      <c r="D60" s="20"/>
      <c r="E60" s="27"/>
      <c r="F60" s="21"/>
      <c r="G60" s="22"/>
      <c r="H60" s="25"/>
      <c r="I60" s="31"/>
      <c r="J60" s="31"/>
      <c r="K60" s="25"/>
      <c r="L60" s="25"/>
      <c r="N60" s="23"/>
      <c r="O60" s="11"/>
    </row>
    <row r="61" spans="1:15" s="10" customFormat="1" x14ac:dyDescent="0.25">
      <c r="A61" s="19"/>
      <c r="B61" s="20"/>
      <c r="C61" s="20"/>
      <c r="D61" s="20"/>
      <c r="E61" s="27"/>
      <c r="F61" s="21"/>
      <c r="G61" s="22"/>
      <c r="H61" s="25"/>
      <c r="I61" s="31"/>
      <c r="J61" s="31"/>
      <c r="K61" s="25"/>
      <c r="L61" s="25"/>
      <c r="N61" s="23"/>
      <c r="O61" s="11"/>
    </row>
    <row r="62" spans="1:15" s="10" customFormat="1" x14ac:dyDescent="0.25">
      <c r="A62" s="19"/>
      <c r="B62" s="20"/>
      <c r="C62" s="20"/>
      <c r="D62" s="20"/>
      <c r="E62" s="27"/>
      <c r="F62" s="21"/>
      <c r="G62" s="22"/>
      <c r="H62" s="25"/>
      <c r="I62" s="31"/>
      <c r="J62" s="31"/>
      <c r="K62" s="25"/>
      <c r="L62" s="25"/>
      <c r="N62" s="23"/>
      <c r="O62" s="11"/>
    </row>
    <row r="63" spans="1:15" s="10" customFormat="1" x14ac:dyDescent="0.25">
      <c r="A63" s="19"/>
      <c r="B63" s="20"/>
      <c r="C63" s="20"/>
      <c r="D63" s="20"/>
      <c r="E63" s="27"/>
      <c r="F63" s="21"/>
      <c r="G63" s="22"/>
      <c r="H63" s="25"/>
      <c r="I63" s="31"/>
      <c r="J63" s="31"/>
      <c r="K63" s="25"/>
      <c r="L63" s="25"/>
      <c r="N63" s="23"/>
      <c r="O63" s="11"/>
    </row>
    <row r="64" spans="1:15" s="10" customFormat="1" x14ac:dyDescent="0.25">
      <c r="A64" s="19"/>
      <c r="B64" s="20"/>
      <c r="C64" s="20"/>
      <c r="D64" s="20"/>
      <c r="E64" s="27"/>
      <c r="F64" s="21"/>
      <c r="G64" s="22"/>
      <c r="H64" s="25"/>
      <c r="I64" s="31"/>
      <c r="J64" s="31"/>
      <c r="K64" s="25"/>
      <c r="L64" s="25"/>
      <c r="N64" s="23"/>
      <c r="O64" s="11"/>
    </row>
    <row r="65" spans="1:15" s="10" customFormat="1" x14ac:dyDescent="0.25">
      <c r="A65" s="19"/>
      <c r="B65" s="20"/>
      <c r="C65" s="20"/>
      <c r="D65" s="20"/>
      <c r="E65" s="27"/>
      <c r="F65" s="21"/>
      <c r="G65" s="22"/>
      <c r="H65" s="25"/>
      <c r="I65" s="31"/>
      <c r="J65" s="31"/>
      <c r="K65" s="25"/>
      <c r="L65" s="25"/>
      <c r="N65" s="23"/>
      <c r="O65" s="11"/>
    </row>
    <row r="66" spans="1:15" s="10" customFormat="1" x14ac:dyDescent="0.25">
      <c r="A66" s="19"/>
      <c r="B66" s="20"/>
      <c r="C66" s="20"/>
      <c r="D66" s="20"/>
      <c r="E66" s="27"/>
      <c r="F66" s="21"/>
      <c r="G66" s="22"/>
      <c r="H66" s="25"/>
      <c r="I66" s="31"/>
      <c r="J66" s="31"/>
      <c r="K66" s="25"/>
      <c r="L66" s="25"/>
      <c r="N66" s="23"/>
      <c r="O66" s="11"/>
    </row>
    <row r="67" spans="1:15" s="10" customFormat="1" x14ac:dyDescent="0.25">
      <c r="A67" s="19"/>
      <c r="B67" s="20"/>
      <c r="C67" s="20"/>
      <c r="D67" s="20"/>
      <c r="E67" s="27"/>
      <c r="F67" s="21"/>
      <c r="G67" s="22"/>
      <c r="H67" s="25"/>
      <c r="I67" s="31"/>
      <c r="J67" s="31"/>
      <c r="K67" s="25"/>
      <c r="L67" s="25"/>
      <c r="N67" s="23"/>
      <c r="O67" s="11"/>
    </row>
    <row r="68" spans="1:15" s="10" customFormat="1" x14ac:dyDescent="0.25">
      <c r="A68" s="19"/>
      <c r="B68" s="20"/>
      <c r="C68" s="20"/>
      <c r="D68" s="20"/>
      <c r="E68" s="27"/>
      <c r="F68" s="21"/>
      <c r="G68" s="22"/>
      <c r="H68" s="25"/>
      <c r="I68" s="31"/>
      <c r="J68" s="31"/>
      <c r="K68" s="25"/>
      <c r="L68" s="25"/>
      <c r="N68" s="23"/>
      <c r="O68" s="11"/>
    </row>
    <row r="69" spans="1:15" s="10" customFormat="1" x14ac:dyDescent="0.25">
      <c r="A69" s="19"/>
      <c r="B69" s="20"/>
      <c r="C69" s="20"/>
      <c r="D69" s="20"/>
      <c r="E69" s="27"/>
      <c r="F69" s="21"/>
      <c r="G69" s="22"/>
      <c r="H69" s="25"/>
      <c r="I69" s="31"/>
      <c r="J69" s="31"/>
      <c r="K69" s="25"/>
      <c r="L69" s="25"/>
      <c r="N69" s="23"/>
      <c r="O69" s="11"/>
    </row>
    <row r="70" spans="1:15" s="10" customFormat="1" x14ac:dyDescent="0.25">
      <c r="A70" s="19"/>
      <c r="B70" s="20"/>
      <c r="C70" s="20"/>
      <c r="D70" s="20"/>
      <c r="E70" s="27"/>
      <c r="F70" s="21"/>
      <c r="G70" s="22"/>
      <c r="H70" s="25"/>
      <c r="I70" s="31"/>
      <c r="J70" s="31"/>
      <c r="K70" s="25"/>
      <c r="L70" s="25"/>
      <c r="N70" s="23"/>
      <c r="O70" s="11"/>
    </row>
    <row r="71" spans="1:15" s="10" customFormat="1" x14ac:dyDescent="0.25">
      <c r="A71" s="19"/>
      <c r="B71" s="20"/>
      <c r="C71" s="20"/>
      <c r="D71" s="20"/>
      <c r="E71" s="27"/>
      <c r="F71" s="21"/>
      <c r="G71" s="22"/>
      <c r="H71" s="25"/>
      <c r="I71" s="31"/>
      <c r="J71" s="31"/>
      <c r="K71" s="25"/>
      <c r="L71" s="25"/>
      <c r="N71" s="23"/>
      <c r="O71" s="11"/>
    </row>
    <row r="72" spans="1:15" s="10" customFormat="1" x14ac:dyDescent="0.25">
      <c r="A72" s="19"/>
      <c r="B72" s="20"/>
      <c r="C72" s="20"/>
      <c r="D72" s="20"/>
      <c r="E72" s="27"/>
      <c r="F72" s="21"/>
      <c r="G72" s="22"/>
      <c r="H72" s="25"/>
      <c r="I72" s="31"/>
      <c r="J72" s="31"/>
      <c r="K72" s="25"/>
      <c r="L72" s="25"/>
      <c r="N72" s="23"/>
      <c r="O72" s="11"/>
    </row>
    <row r="73" spans="1:15" s="10" customFormat="1" x14ac:dyDescent="0.25">
      <c r="A73" s="19"/>
      <c r="B73" s="20"/>
      <c r="C73" s="20"/>
      <c r="D73" s="20"/>
      <c r="E73" s="27"/>
      <c r="F73" s="21"/>
      <c r="G73" s="22"/>
      <c r="H73" s="25"/>
      <c r="I73" s="31"/>
      <c r="J73" s="31"/>
      <c r="K73" s="25"/>
      <c r="L73" s="25"/>
      <c r="N73" s="23"/>
      <c r="O73" s="11"/>
    </row>
    <row r="74" spans="1:15" s="10" customFormat="1" x14ac:dyDescent="0.25">
      <c r="A74" s="19"/>
      <c r="B74" s="20"/>
      <c r="C74" s="20"/>
      <c r="D74" s="20"/>
      <c r="E74" s="27"/>
      <c r="F74" s="21"/>
      <c r="G74" s="22"/>
      <c r="H74" s="25"/>
      <c r="I74" s="31"/>
      <c r="J74" s="31"/>
      <c r="K74" s="25"/>
      <c r="L74" s="25"/>
      <c r="N74" s="23"/>
      <c r="O74" s="11"/>
    </row>
    <row r="75" spans="1:15" s="10" customFormat="1" x14ac:dyDescent="0.25">
      <c r="A75" s="19"/>
      <c r="B75" s="20"/>
      <c r="C75" s="20"/>
      <c r="D75" s="20"/>
      <c r="E75" s="27"/>
      <c r="F75" s="21"/>
      <c r="G75" s="22"/>
      <c r="H75" s="25"/>
      <c r="I75" s="31"/>
      <c r="J75" s="31"/>
      <c r="K75" s="25"/>
      <c r="L75" s="25"/>
      <c r="N75" s="23"/>
      <c r="O75" s="11"/>
    </row>
    <row r="76" spans="1:15" s="10" customFormat="1" x14ac:dyDescent="0.25">
      <c r="A76" s="19"/>
      <c r="B76" s="20"/>
      <c r="C76" s="20"/>
      <c r="D76" s="20"/>
      <c r="E76" s="27"/>
      <c r="F76" s="21"/>
      <c r="G76" s="22"/>
      <c r="H76" s="25"/>
      <c r="I76" s="31"/>
      <c r="J76" s="31"/>
      <c r="K76" s="25"/>
      <c r="L76" s="25"/>
      <c r="N76" s="23"/>
      <c r="O76" s="11"/>
    </row>
    <row r="77" spans="1:15" s="10" customFormat="1" x14ac:dyDescent="0.25">
      <c r="A77" s="19"/>
      <c r="B77" s="20"/>
      <c r="C77" s="20"/>
      <c r="D77" s="20"/>
      <c r="E77" s="27"/>
      <c r="F77" s="21"/>
      <c r="G77" s="22"/>
      <c r="H77" s="25"/>
      <c r="I77" s="31"/>
      <c r="J77" s="31"/>
      <c r="K77" s="25"/>
      <c r="L77" s="25"/>
      <c r="N77" s="23"/>
      <c r="O77" s="11"/>
    </row>
    <row r="78" spans="1:15" s="10" customFormat="1" x14ac:dyDescent="0.25">
      <c r="A78" s="19"/>
      <c r="B78" s="20"/>
      <c r="C78" s="20"/>
      <c r="D78" s="20"/>
      <c r="E78" s="27"/>
      <c r="F78" s="21"/>
      <c r="G78" s="22"/>
      <c r="H78" s="25"/>
      <c r="I78" s="31"/>
      <c r="J78" s="31"/>
      <c r="K78" s="25"/>
      <c r="L78" s="25"/>
      <c r="N78" s="23"/>
      <c r="O78" s="11"/>
    </row>
    <row r="79" spans="1:15" s="10" customFormat="1" x14ac:dyDescent="0.25">
      <c r="A79" s="19"/>
      <c r="B79" s="20"/>
      <c r="C79" s="20"/>
      <c r="D79" s="20"/>
      <c r="E79" s="27"/>
      <c r="F79" s="21"/>
      <c r="G79" s="22"/>
      <c r="H79" s="25"/>
      <c r="I79" s="31"/>
      <c r="J79" s="31"/>
      <c r="K79" s="25"/>
      <c r="L79" s="25"/>
      <c r="N79" s="23"/>
      <c r="O79" s="11"/>
    </row>
    <row r="80" spans="1:15" s="10" customFormat="1" x14ac:dyDescent="0.25">
      <c r="A80" s="19"/>
      <c r="B80" s="20"/>
      <c r="C80" s="20"/>
      <c r="D80" s="20"/>
      <c r="E80" s="27"/>
      <c r="F80" s="21"/>
      <c r="G80" s="22"/>
      <c r="H80" s="25"/>
      <c r="I80" s="31"/>
      <c r="J80" s="31"/>
      <c r="K80" s="25"/>
      <c r="L80" s="25"/>
      <c r="N80" s="23"/>
      <c r="O80" s="11"/>
    </row>
    <row r="81" spans="1:15" s="10" customFormat="1" x14ac:dyDescent="0.25">
      <c r="A81" s="19"/>
      <c r="B81" s="20"/>
      <c r="C81" s="20"/>
      <c r="D81" s="20"/>
      <c r="E81" s="27"/>
      <c r="F81" s="21"/>
      <c r="G81" s="22"/>
      <c r="H81" s="25"/>
      <c r="I81" s="31"/>
      <c r="J81" s="31"/>
      <c r="K81" s="25"/>
      <c r="L81" s="25"/>
      <c r="N81" s="23"/>
      <c r="O81" s="11"/>
    </row>
    <row r="82" spans="1:15" s="10" customFormat="1" x14ac:dyDescent="0.25">
      <c r="A82" s="19"/>
      <c r="B82" s="20"/>
      <c r="C82" s="20"/>
      <c r="D82" s="20"/>
      <c r="E82" s="27"/>
      <c r="F82" s="21"/>
      <c r="G82" s="22"/>
      <c r="H82" s="25"/>
      <c r="I82" s="31"/>
      <c r="J82" s="31"/>
      <c r="K82" s="25"/>
      <c r="L82" s="25"/>
      <c r="N82" s="23"/>
      <c r="O82" s="11"/>
    </row>
    <row r="83" spans="1:15" s="10" customFormat="1" x14ac:dyDescent="0.25">
      <c r="A83" s="19"/>
      <c r="B83" s="20"/>
      <c r="C83" s="20"/>
      <c r="D83" s="20"/>
      <c r="E83" s="27"/>
      <c r="F83" s="21"/>
      <c r="G83" s="22"/>
      <c r="H83" s="25"/>
      <c r="I83" s="31"/>
      <c r="J83" s="31"/>
      <c r="K83" s="25"/>
      <c r="L83" s="25"/>
      <c r="N83" s="23"/>
      <c r="O83" s="11"/>
    </row>
    <row r="84" spans="1:15" s="10" customFormat="1" x14ac:dyDescent="0.25">
      <c r="A84" s="19"/>
      <c r="B84" s="20"/>
      <c r="C84" s="20"/>
      <c r="D84" s="20"/>
      <c r="E84" s="27"/>
      <c r="F84" s="21"/>
      <c r="G84" s="22"/>
      <c r="H84" s="25"/>
      <c r="I84" s="31"/>
      <c r="J84" s="31"/>
      <c r="K84" s="25"/>
      <c r="L84" s="25"/>
      <c r="N84" s="23"/>
      <c r="O84" s="11"/>
    </row>
    <row r="85" spans="1:15" s="10" customFormat="1" x14ac:dyDescent="0.25">
      <c r="A85" s="19"/>
      <c r="B85" s="20"/>
      <c r="C85" s="20"/>
      <c r="D85" s="20"/>
      <c r="E85" s="27"/>
      <c r="F85" s="21"/>
      <c r="G85" s="22"/>
      <c r="H85" s="25"/>
      <c r="I85" s="31"/>
      <c r="J85" s="31"/>
      <c r="K85" s="25"/>
      <c r="L85" s="25"/>
      <c r="N85" s="23"/>
      <c r="O85" s="11"/>
    </row>
    <row r="86" spans="1:15" s="10" customFormat="1" x14ac:dyDescent="0.25">
      <c r="A86" s="19"/>
      <c r="B86" s="20"/>
      <c r="C86" s="20"/>
      <c r="D86" s="20"/>
      <c r="E86" s="27"/>
      <c r="F86" s="21"/>
      <c r="G86" s="22"/>
      <c r="H86" s="25"/>
      <c r="I86" s="31"/>
      <c r="J86" s="31"/>
      <c r="K86" s="25"/>
      <c r="L86" s="25"/>
      <c r="N86" s="23"/>
      <c r="O86" s="11"/>
    </row>
    <row r="87" spans="1:15" s="10" customFormat="1" x14ac:dyDescent="0.25">
      <c r="A87" s="19"/>
      <c r="B87" s="20"/>
      <c r="C87" s="20"/>
      <c r="D87" s="20"/>
      <c r="E87" s="27"/>
      <c r="F87" s="21"/>
      <c r="G87" s="22"/>
      <c r="H87" s="25"/>
      <c r="I87" s="31"/>
      <c r="J87" s="31"/>
      <c r="K87" s="25"/>
      <c r="L87" s="25"/>
      <c r="N87" s="23"/>
      <c r="O87" s="11"/>
    </row>
    <row r="88" spans="1:15" s="10" customFormat="1" x14ac:dyDescent="0.25">
      <c r="A88" s="19"/>
      <c r="B88" s="20"/>
      <c r="C88" s="20"/>
      <c r="D88" s="20"/>
      <c r="E88" s="27"/>
      <c r="F88" s="21"/>
      <c r="G88" s="22"/>
      <c r="H88" s="25"/>
      <c r="I88" s="31"/>
      <c r="J88" s="31"/>
      <c r="K88" s="25"/>
      <c r="L88" s="25"/>
      <c r="N88" s="23"/>
      <c r="O88" s="11"/>
    </row>
    <row r="89" spans="1:15" s="10" customFormat="1" x14ac:dyDescent="0.25">
      <c r="A89" s="19"/>
      <c r="B89" s="20"/>
      <c r="C89" s="20"/>
      <c r="D89" s="20"/>
      <c r="E89" s="27"/>
      <c r="F89" s="21"/>
      <c r="G89" s="22"/>
      <c r="H89" s="25"/>
      <c r="I89" s="31"/>
      <c r="J89" s="31"/>
      <c r="K89" s="25"/>
      <c r="L89" s="25"/>
      <c r="N89" s="23"/>
      <c r="O89" s="11"/>
    </row>
    <row r="90" spans="1:15" s="10" customFormat="1" x14ac:dyDescent="0.25">
      <c r="A90" s="19"/>
      <c r="B90" s="20"/>
      <c r="C90" s="20"/>
      <c r="D90" s="20"/>
      <c r="E90" s="27"/>
      <c r="F90" s="21"/>
      <c r="G90" s="22"/>
      <c r="H90" s="25"/>
      <c r="I90" s="31"/>
      <c r="J90" s="31"/>
      <c r="K90" s="25"/>
      <c r="L90" s="25"/>
      <c r="N90" s="23"/>
      <c r="O90" s="11"/>
    </row>
    <row r="91" spans="1:15" s="10" customFormat="1" x14ac:dyDescent="0.25">
      <c r="A91" s="19"/>
      <c r="B91" s="20"/>
      <c r="C91" s="20"/>
      <c r="D91" s="20"/>
      <c r="E91" s="27"/>
      <c r="F91" s="21"/>
      <c r="G91" s="22"/>
      <c r="H91" s="25"/>
      <c r="I91" s="31"/>
      <c r="J91" s="31"/>
      <c r="K91" s="25"/>
      <c r="L91" s="25"/>
      <c r="N91" s="23"/>
      <c r="O91" s="11"/>
    </row>
    <row r="92" spans="1:15" s="10" customFormat="1" x14ac:dyDescent="0.25">
      <c r="A92" s="19"/>
      <c r="B92" s="20"/>
      <c r="C92" s="20"/>
      <c r="D92" s="20"/>
      <c r="E92" s="27"/>
      <c r="F92" s="21"/>
      <c r="G92" s="22"/>
      <c r="H92" s="25"/>
      <c r="I92" s="31"/>
      <c r="J92" s="31"/>
      <c r="K92" s="25"/>
      <c r="L92" s="25"/>
      <c r="N92" s="23"/>
      <c r="O92" s="11"/>
    </row>
    <row r="93" spans="1:15" s="10" customFormat="1" x14ac:dyDescent="0.25">
      <c r="A93" s="19"/>
      <c r="B93" s="20"/>
      <c r="C93" s="20"/>
      <c r="D93" s="20"/>
      <c r="E93" s="27"/>
      <c r="F93" s="21"/>
      <c r="G93" s="22"/>
      <c r="H93" s="25"/>
      <c r="I93" s="31"/>
      <c r="J93" s="31"/>
      <c r="K93" s="25"/>
      <c r="L93" s="25"/>
      <c r="N93" s="23"/>
      <c r="O93" s="11"/>
    </row>
    <row r="94" spans="1:15" s="10" customFormat="1" x14ac:dyDescent="0.25">
      <c r="A94" s="19"/>
      <c r="B94" s="20"/>
      <c r="C94" s="20"/>
      <c r="D94" s="20"/>
      <c r="E94" s="27"/>
      <c r="F94" s="21"/>
      <c r="G94" s="22"/>
      <c r="H94" s="25"/>
      <c r="I94" s="31"/>
      <c r="J94" s="31"/>
      <c r="K94" s="25"/>
      <c r="L94" s="25"/>
      <c r="N94" s="23"/>
      <c r="O94" s="11"/>
    </row>
    <row r="95" spans="1:15" s="10" customFormat="1" x14ac:dyDescent="0.25">
      <c r="A95" s="19"/>
      <c r="B95" s="20"/>
      <c r="C95" s="20"/>
      <c r="D95" s="20"/>
      <c r="E95" s="27"/>
      <c r="F95" s="21"/>
      <c r="G95" s="22"/>
      <c r="H95" s="25"/>
      <c r="I95" s="31"/>
      <c r="J95" s="31"/>
      <c r="K95" s="25"/>
      <c r="L95" s="25"/>
      <c r="N95" s="23"/>
      <c r="O95" s="11"/>
    </row>
    <row r="96" spans="1:15" s="10" customFormat="1" x14ac:dyDescent="0.25">
      <c r="A96" s="19"/>
      <c r="B96" s="20"/>
      <c r="C96" s="20"/>
      <c r="D96" s="20"/>
      <c r="E96" s="27"/>
      <c r="F96" s="21"/>
      <c r="G96" s="22"/>
      <c r="H96" s="25"/>
      <c r="I96" s="31"/>
      <c r="J96" s="31"/>
      <c r="K96" s="25"/>
      <c r="L96" s="25"/>
      <c r="N96" s="23"/>
      <c r="O96" s="11"/>
    </row>
    <row r="97" spans="1:15" s="10" customFormat="1" x14ac:dyDescent="0.25">
      <c r="A97" s="19"/>
      <c r="B97" s="20"/>
      <c r="C97" s="20"/>
      <c r="D97" s="20"/>
      <c r="E97" s="27"/>
      <c r="F97" s="21"/>
      <c r="G97" s="22"/>
      <c r="H97" s="25"/>
      <c r="I97" s="31"/>
      <c r="J97" s="31"/>
      <c r="K97" s="25"/>
      <c r="L97" s="25"/>
      <c r="N97" s="23"/>
      <c r="O97" s="11"/>
    </row>
    <row r="98" spans="1:15" s="10" customFormat="1" x14ac:dyDescent="0.25">
      <c r="A98" s="19"/>
      <c r="B98" s="20"/>
      <c r="C98" s="20"/>
      <c r="D98" s="20"/>
      <c r="E98" s="27"/>
      <c r="F98" s="21"/>
      <c r="G98" s="22"/>
      <c r="H98" s="25"/>
      <c r="I98" s="31"/>
      <c r="J98" s="31"/>
      <c r="K98" s="25"/>
      <c r="L98" s="25"/>
      <c r="N98" s="23"/>
      <c r="O98" s="11"/>
    </row>
    <row r="99" spans="1:15" s="10" customFormat="1" x14ac:dyDescent="0.25">
      <c r="A99" s="19"/>
      <c r="B99" s="20"/>
      <c r="C99" s="20"/>
      <c r="D99" s="20"/>
      <c r="E99" s="27"/>
      <c r="F99" s="21"/>
      <c r="G99" s="22"/>
      <c r="H99" s="25"/>
      <c r="I99" s="31"/>
      <c r="J99" s="31"/>
      <c r="K99" s="25"/>
      <c r="L99" s="25"/>
      <c r="N99" s="23"/>
      <c r="O99" s="11"/>
    </row>
    <row r="100" spans="1:15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31"/>
      <c r="J100" s="31"/>
      <c r="K100" s="25"/>
      <c r="L100" s="25"/>
      <c r="N100" s="23"/>
      <c r="O100" s="11"/>
    </row>
    <row r="101" spans="1:15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31"/>
      <c r="J101" s="31"/>
      <c r="K101" s="25"/>
      <c r="L101" s="25"/>
      <c r="N101" s="23"/>
      <c r="O101" s="11"/>
    </row>
    <row r="102" spans="1:15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31"/>
      <c r="J102" s="31"/>
      <c r="K102" s="25"/>
      <c r="L102" s="25"/>
      <c r="N102" s="23"/>
      <c r="O102" s="11"/>
    </row>
    <row r="103" spans="1:15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31"/>
      <c r="J103" s="31"/>
      <c r="K103" s="25"/>
      <c r="L103" s="25"/>
      <c r="N103" s="23"/>
      <c r="O103" s="11"/>
    </row>
    <row r="104" spans="1:15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31"/>
      <c r="J104" s="31"/>
      <c r="K104" s="25"/>
      <c r="L104" s="25"/>
      <c r="N104" s="23"/>
      <c r="O104" s="11"/>
    </row>
    <row r="105" spans="1:15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31"/>
      <c r="J105" s="31"/>
      <c r="K105" s="25"/>
      <c r="L105" s="25"/>
      <c r="N105" s="23"/>
      <c r="O105" s="11"/>
    </row>
    <row r="106" spans="1:15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31"/>
      <c r="J106" s="31"/>
      <c r="K106" s="25"/>
      <c r="L106" s="25"/>
      <c r="N106" s="23"/>
      <c r="O106" s="11"/>
    </row>
    <row r="107" spans="1:15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31"/>
      <c r="J107" s="31"/>
      <c r="K107" s="25"/>
      <c r="L107" s="25"/>
      <c r="N107" s="23"/>
      <c r="O107" s="11"/>
    </row>
    <row r="108" spans="1:15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31"/>
      <c r="J108" s="31"/>
      <c r="K108" s="25"/>
      <c r="L108" s="25"/>
      <c r="N108" s="23"/>
      <c r="O108" s="11"/>
    </row>
    <row r="109" spans="1:15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31"/>
      <c r="J109" s="31"/>
      <c r="K109" s="25"/>
      <c r="L109" s="25"/>
      <c r="N109" s="23"/>
      <c r="O109" s="11"/>
    </row>
    <row r="110" spans="1:15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31"/>
      <c r="J110" s="31"/>
      <c r="K110" s="25"/>
      <c r="L110" s="25"/>
      <c r="N110" s="23"/>
      <c r="O110" s="11"/>
    </row>
    <row r="111" spans="1:15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31"/>
      <c r="J111" s="31"/>
      <c r="K111" s="25"/>
      <c r="L111" s="25"/>
      <c r="N111" s="23"/>
      <c r="O111" s="11"/>
    </row>
    <row r="112" spans="1:15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31"/>
      <c r="J112" s="31"/>
      <c r="K112" s="25"/>
      <c r="L112" s="25"/>
      <c r="N112" s="23"/>
      <c r="O112" s="11"/>
    </row>
    <row r="113" spans="1:15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31"/>
      <c r="J113" s="31"/>
      <c r="K113" s="25"/>
      <c r="L113" s="25"/>
      <c r="N113" s="23"/>
      <c r="O113" s="11"/>
    </row>
    <row r="114" spans="1:15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31"/>
      <c r="J114" s="31"/>
      <c r="K114" s="25"/>
      <c r="L114" s="25"/>
      <c r="N114" s="23"/>
      <c r="O114" s="11"/>
    </row>
    <row r="115" spans="1:15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31"/>
      <c r="J115" s="31"/>
      <c r="K115" s="25"/>
      <c r="L115" s="25"/>
      <c r="N115" s="23"/>
      <c r="O115" s="11"/>
    </row>
    <row r="116" spans="1:15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31"/>
      <c r="J116" s="31"/>
      <c r="K116" s="25"/>
      <c r="L116" s="25"/>
      <c r="N116" s="23"/>
      <c r="O116" s="11"/>
    </row>
    <row r="117" spans="1:15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31"/>
      <c r="J117" s="31"/>
      <c r="K117" s="25"/>
      <c r="L117" s="25"/>
      <c r="N117" s="23"/>
      <c r="O117" s="11"/>
    </row>
    <row r="118" spans="1:15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31"/>
      <c r="J118" s="31"/>
      <c r="K118" s="25"/>
      <c r="L118" s="25"/>
      <c r="N118" s="23"/>
      <c r="O118" s="11"/>
    </row>
    <row r="119" spans="1:15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31"/>
      <c r="J119" s="31"/>
      <c r="K119" s="25"/>
      <c r="L119" s="25"/>
      <c r="N119" s="23"/>
      <c r="O119" s="11"/>
    </row>
    <row r="120" spans="1:15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31"/>
      <c r="J120" s="31"/>
      <c r="K120" s="25"/>
      <c r="L120" s="25"/>
      <c r="N120" s="23"/>
      <c r="O120" s="11"/>
    </row>
    <row r="121" spans="1:15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31"/>
      <c r="J121" s="31"/>
      <c r="K121" s="25"/>
      <c r="L121" s="25"/>
      <c r="N121" s="23"/>
      <c r="O121" s="11"/>
    </row>
    <row r="122" spans="1:15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31"/>
      <c r="J122" s="31"/>
      <c r="K122" s="25"/>
      <c r="L122" s="25"/>
      <c r="N122" s="23"/>
      <c r="O122" s="11"/>
    </row>
    <row r="123" spans="1:15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31"/>
      <c r="J123" s="31"/>
      <c r="K123" s="25"/>
      <c r="L123" s="25"/>
      <c r="N123" s="23"/>
      <c r="O123" s="11"/>
    </row>
    <row r="124" spans="1:15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31"/>
      <c r="J124" s="31"/>
      <c r="K124" s="25"/>
      <c r="L124" s="25"/>
      <c r="N124" s="23"/>
      <c r="O124" s="11"/>
    </row>
    <row r="125" spans="1:15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31"/>
      <c r="J125" s="31"/>
      <c r="K125" s="25"/>
      <c r="L125" s="25"/>
      <c r="N125" s="23"/>
      <c r="O125" s="11"/>
    </row>
    <row r="126" spans="1:15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31"/>
      <c r="J126" s="31"/>
      <c r="K126" s="25"/>
      <c r="L126" s="25"/>
      <c r="N126" s="23"/>
      <c r="O126" s="11"/>
    </row>
    <row r="127" spans="1:15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31"/>
      <c r="J127" s="31"/>
      <c r="K127" s="25"/>
      <c r="L127" s="25"/>
      <c r="N127" s="23"/>
      <c r="O127" s="11"/>
    </row>
    <row r="128" spans="1:15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31"/>
      <c r="J128" s="31"/>
      <c r="K128" s="25"/>
      <c r="L128" s="25"/>
      <c r="N128" s="23"/>
      <c r="O128" s="11"/>
    </row>
    <row r="129" spans="1:15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31"/>
      <c r="J129" s="31"/>
      <c r="K129" s="25"/>
      <c r="L129" s="25"/>
      <c r="N129" s="23"/>
      <c r="O129" s="11"/>
    </row>
    <row r="130" spans="1:15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31"/>
      <c r="J130" s="31"/>
      <c r="K130" s="25"/>
      <c r="L130" s="25"/>
      <c r="N130" s="23"/>
      <c r="O130" s="11"/>
    </row>
    <row r="131" spans="1:15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31"/>
      <c r="J131" s="31"/>
      <c r="K131" s="25"/>
      <c r="L131" s="25"/>
      <c r="N131" s="23"/>
      <c r="O131" s="11"/>
    </row>
    <row r="132" spans="1:15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31"/>
      <c r="J132" s="31"/>
      <c r="K132" s="25"/>
      <c r="L132" s="25"/>
      <c r="N132" s="23"/>
      <c r="O132" s="11"/>
    </row>
    <row r="133" spans="1:15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31"/>
      <c r="J133" s="31"/>
      <c r="K133" s="25"/>
      <c r="L133" s="25"/>
      <c r="N133" s="23"/>
      <c r="O133" s="11"/>
    </row>
    <row r="134" spans="1:15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31"/>
      <c r="J134" s="31"/>
      <c r="K134" s="25"/>
      <c r="L134" s="25"/>
      <c r="N134" s="23"/>
      <c r="O134" s="11"/>
    </row>
    <row r="135" spans="1:15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31"/>
      <c r="J135" s="31"/>
      <c r="K135" s="25"/>
      <c r="L135" s="25"/>
      <c r="N135" s="23"/>
      <c r="O135" s="11"/>
    </row>
    <row r="136" spans="1:15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31"/>
      <c r="J136" s="31"/>
      <c r="K136" s="25"/>
      <c r="L136" s="25"/>
      <c r="N136" s="23"/>
      <c r="O136" s="11"/>
    </row>
    <row r="137" spans="1:15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31"/>
      <c r="J137" s="31"/>
      <c r="K137" s="25"/>
      <c r="L137" s="25"/>
      <c r="N137" s="23"/>
      <c r="O137" s="11"/>
    </row>
    <row r="138" spans="1:15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31"/>
      <c r="J138" s="31"/>
      <c r="K138" s="25"/>
      <c r="L138" s="25"/>
      <c r="N138" s="23"/>
      <c r="O138" s="11"/>
    </row>
    <row r="139" spans="1:15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31"/>
      <c r="J139" s="31"/>
      <c r="K139" s="25"/>
      <c r="L139" s="25"/>
      <c r="N139" s="23"/>
      <c r="O139" s="11"/>
    </row>
    <row r="140" spans="1:15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31"/>
      <c r="J140" s="31"/>
      <c r="K140" s="25"/>
      <c r="L140" s="25"/>
      <c r="N140" s="23"/>
      <c r="O140" s="11"/>
    </row>
    <row r="141" spans="1:15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31"/>
      <c r="J141" s="31"/>
      <c r="K141" s="25"/>
      <c r="L141" s="25"/>
      <c r="N141" s="23"/>
      <c r="O141" s="11"/>
    </row>
    <row r="142" spans="1:15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31"/>
      <c r="J142" s="31"/>
      <c r="K142" s="25"/>
      <c r="L142" s="25"/>
      <c r="N142" s="23"/>
      <c r="O142" s="11"/>
    </row>
    <row r="143" spans="1:15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31"/>
      <c r="J143" s="31"/>
      <c r="K143" s="25"/>
      <c r="L143" s="25"/>
      <c r="N143" s="23"/>
      <c r="O143" s="11"/>
    </row>
    <row r="144" spans="1:15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31"/>
      <c r="J144" s="31"/>
      <c r="K144" s="25"/>
      <c r="L144" s="25"/>
      <c r="N144" s="23"/>
      <c r="O144" s="11"/>
    </row>
    <row r="145" spans="1:15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31"/>
      <c r="J145" s="31"/>
      <c r="K145" s="25"/>
      <c r="L145" s="25"/>
      <c r="N145" s="23"/>
      <c r="O145" s="11"/>
    </row>
    <row r="146" spans="1:15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31"/>
      <c r="J146" s="31"/>
      <c r="K146" s="25"/>
      <c r="L146" s="25"/>
      <c r="N146" s="23"/>
      <c r="O146" s="11"/>
    </row>
    <row r="147" spans="1:15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31"/>
      <c r="J147" s="31"/>
      <c r="K147" s="25"/>
      <c r="L147" s="25"/>
      <c r="N147" s="23"/>
      <c r="O147" s="11"/>
    </row>
    <row r="148" spans="1:15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31"/>
      <c r="J148" s="31"/>
      <c r="K148" s="25"/>
      <c r="L148" s="25"/>
      <c r="N148" s="23"/>
      <c r="O148" s="11"/>
    </row>
    <row r="149" spans="1:15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31"/>
      <c r="J149" s="31"/>
      <c r="K149" s="25"/>
      <c r="L149" s="25"/>
      <c r="N149" s="23"/>
      <c r="O149" s="11"/>
    </row>
    <row r="150" spans="1:15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31"/>
      <c r="J150" s="31"/>
      <c r="K150" s="25"/>
      <c r="L150" s="25"/>
      <c r="N150" s="23"/>
      <c r="O150" s="11"/>
    </row>
    <row r="151" spans="1:15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31"/>
      <c r="J151" s="31"/>
      <c r="K151" s="25"/>
      <c r="L151" s="25"/>
      <c r="N151" s="23"/>
      <c r="O151" s="11"/>
    </row>
    <row r="152" spans="1:15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31"/>
      <c r="J152" s="31"/>
      <c r="K152" s="25"/>
      <c r="L152" s="25"/>
      <c r="N152" s="23"/>
      <c r="O152" s="11"/>
    </row>
    <row r="153" spans="1:15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31"/>
      <c r="J153" s="31"/>
      <c r="K153" s="25"/>
      <c r="L153" s="25"/>
      <c r="N153" s="23"/>
      <c r="O153" s="11"/>
    </row>
    <row r="154" spans="1:15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31"/>
      <c r="J154" s="31"/>
      <c r="K154" s="25"/>
      <c r="L154" s="25"/>
      <c r="N154" s="23"/>
      <c r="O154" s="11"/>
    </row>
    <row r="155" spans="1:15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31"/>
      <c r="J155" s="31"/>
      <c r="K155" s="25"/>
      <c r="L155" s="25"/>
      <c r="N155" s="23"/>
      <c r="O155" s="11"/>
    </row>
    <row r="156" spans="1:15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31"/>
      <c r="J156" s="31"/>
      <c r="K156" s="25"/>
      <c r="L156" s="25"/>
      <c r="N156" s="23"/>
      <c r="O156" s="11"/>
    </row>
    <row r="157" spans="1:15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31"/>
      <c r="J157" s="31"/>
      <c r="K157" s="25"/>
      <c r="L157" s="25"/>
      <c r="N157" s="23"/>
      <c r="O157" s="11"/>
    </row>
    <row r="158" spans="1:15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31"/>
      <c r="J158" s="31"/>
      <c r="K158" s="25"/>
      <c r="L158" s="25"/>
      <c r="N158" s="23"/>
      <c r="O158" s="11"/>
    </row>
    <row r="159" spans="1:15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31"/>
      <c r="J159" s="31"/>
      <c r="K159" s="25"/>
      <c r="L159" s="25"/>
      <c r="N159" s="23"/>
      <c r="O159" s="11"/>
    </row>
    <row r="160" spans="1:15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31"/>
      <c r="J160" s="31"/>
      <c r="K160" s="25"/>
      <c r="L160" s="25"/>
      <c r="N160" s="23"/>
      <c r="O160" s="11"/>
    </row>
    <row r="161" spans="1:15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31"/>
      <c r="J161" s="31"/>
      <c r="K161" s="25"/>
      <c r="L161" s="25"/>
      <c r="N161" s="23"/>
      <c r="O161" s="11"/>
    </row>
    <row r="162" spans="1:15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31"/>
      <c r="J162" s="31"/>
      <c r="K162" s="25"/>
      <c r="L162" s="25"/>
      <c r="N162" s="23"/>
      <c r="O162" s="11"/>
    </row>
    <row r="163" spans="1:15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31"/>
      <c r="J163" s="31"/>
      <c r="K163" s="25"/>
      <c r="L163" s="25"/>
      <c r="N163" s="23"/>
      <c r="O163" s="11"/>
    </row>
    <row r="164" spans="1:15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31"/>
      <c r="J164" s="31"/>
      <c r="K164" s="25"/>
      <c r="L164" s="25"/>
      <c r="N164" s="23"/>
      <c r="O164" s="11"/>
    </row>
    <row r="165" spans="1:15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31"/>
      <c r="J165" s="31"/>
      <c r="K165" s="25"/>
      <c r="L165" s="25"/>
      <c r="N165" s="23"/>
      <c r="O165" s="11"/>
    </row>
    <row r="166" spans="1:15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31"/>
      <c r="J166" s="31"/>
      <c r="K166" s="25"/>
      <c r="L166" s="25"/>
      <c r="N166" s="23"/>
      <c r="O166" s="11"/>
    </row>
    <row r="167" spans="1:15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31"/>
      <c r="J167" s="31"/>
      <c r="K167" s="25"/>
      <c r="L167" s="25"/>
      <c r="N167" s="23"/>
      <c r="O167" s="11"/>
    </row>
    <row r="168" spans="1:15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31"/>
      <c r="J168" s="31"/>
      <c r="K168" s="25"/>
      <c r="L168" s="25"/>
      <c r="N168" s="23"/>
      <c r="O168" s="11"/>
    </row>
    <row r="169" spans="1:15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31"/>
      <c r="J169" s="31"/>
      <c r="K169" s="25"/>
      <c r="L169" s="25"/>
      <c r="N169" s="23"/>
      <c r="O169" s="11"/>
    </row>
    <row r="170" spans="1:15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31"/>
      <c r="J170" s="31"/>
      <c r="K170" s="25"/>
      <c r="L170" s="25"/>
      <c r="N170" s="23"/>
      <c r="O170" s="11"/>
    </row>
    <row r="171" spans="1:15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31"/>
      <c r="J171" s="31"/>
      <c r="K171" s="25"/>
      <c r="L171" s="25"/>
      <c r="N171" s="23"/>
      <c r="O171" s="11"/>
    </row>
    <row r="172" spans="1:15" s="10" customFormat="1" x14ac:dyDescent="0.25">
      <c r="A172" s="19"/>
      <c r="B172" s="20"/>
      <c r="C172" s="20"/>
      <c r="D172" s="20"/>
      <c r="E172" s="27"/>
      <c r="F172" s="21"/>
      <c r="G172" s="22"/>
      <c r="H172" s="25"/>
      <c r="I172" s="31"/>
      <c r="J172" s="31"/>
      <c r="K172" s="25"/>
      <c r="L172" s="25"/>
      <c r="N172" s="23"/>
      <c r="O172" s="11"/>
    </row>
    <row r="173" spans="1:15" s="10" customFormat="1" x14ac:dyDescent="0.25">
      <c r="A173" s="19"/>
      <c r="B173" s="20"/>
      <c r="C173" s="20"/>
      <c r="D173" s="20"/>
      <c r="E173" s="27"/>
      <c r="F173" s="21"/>
      <c r="G173" s="22"/>
      <c r="H173" s="25"/>
      <c r="I173" s="31"/>
      <c r="J173" s="31"/>
      <c r="K173" s="25"/>
      <c r="L173" s="25"/>
      <c r="N173" s="23"/>
      <c r="O173" s="11"/>
    </row>
    <row r="174" spans="1:15" s="10" customFormat="1" x14ac:dyDescent="0.25">
      <c r="A174" s="19"/>
      <c r="B174" s="20"/>
      <c r="C174" s="20"/>
      <c r="D174" s="20"/>
      <c r="E174" s="27"/>
      <c r="F174" s="21"/>
      <c r="G174" s="22"/>
      <c r="H174" s="25"/>
      <c r="I174" s="31"/>
      <c r="J174" s="31"/>
      <c r="K174" s="25"/>
      <c r="L174" s="25"/>
      <c r="N174" s="23"/>
      <c r="O174" s="11"/>
    </row>
    <row r="175" spans="1:15" s="10" customFormat="1" x14ac:dyDescent="0.25">
      <c r="A175" s="19"/>
      <c r="B175" s="20"/>
      <c r="C175" s="20"/>
      <c r="D175" s="20"/>
      <c r="E175" s="27"/>
      <c r="F175" s="21"/>
      <c r="G175" s="22"/>
      <c r="H175" s="25"/>
      <c r="I175" s="31"/>
      <c r="J175" s="31"/>
      <c r="K175" s="25"/>
      <c r="L175" s="25"/>
      <c r="N175" s="23"/>
      <c r="O175" s="11"/>
    </row>
    <row r="176" spans="1:15" s="10" customFormat="1" x14ac:dyDescent="0.25">
      <c r="A176" s="19"/>
      <c r="B176" s="20"/>
      <c r="C176" s="20"/>
      <c r="D176" s="20"/>
      <c r="E176" s="27"/>
      <c r="F176" s="21"/>
      <c r="G176" s="22"/>
      <c r="H176" s="25"/>
      <c r="I176" s="31"/>
      <c r="J176" s="31"/>
      <c r="K176" s="25"/>
      <c r="L176" s="25"/>
      <c r="N176" s="23"/>
      <c r="O176" s="11"/>
    </row>
    <row r="177" spans="1:15" s="10" customFormat="1" x14ac:dyDescent="0.25">
      <c r="A177" s="19"/>
      <c r="B177" s="20"/>
      <c r="C177" s="20"/>
      <c r="D177" s="20"/>
      <c r="E177" s="27"/>
      <c r="F177" s="21"/>
      <c r="G177" s="22"/>
      <c r="H177" s="25"/>
      <c r="I177" s="31"/>
      <c r="J177" s="31"/>
      <c r="K177" s="25"/>
      <c r="L177" s="25"/>
      <c r="N177" s="23"/>
      <c r="O177" s="11"/>
    </row>
    <row r="178" spans="1:15" s="10" customFormat="1" x14ac:dyDescent="0.25">
      <c r="A178" s="19"/>
      <c r="B178" s="20"/>
      <c r="C178" s="20"/>
      <c r="D178" s="20"/>
      <c r="E178" s="27"/>
      <c r="F178" s="21"/>
      <c r="G178" s="22"/>
      <c r="H178" s="25"/>
      <c r="I178" s="31"/>
      <c r="J178" s="31"/>
      <c r="K178" s="25"/>
      <c r="L178" s="25"/>
      <c r="N178" s="23"/>
      <c r="O178" s="11"/>
    </row>
    <row r="179" spans="1:15" s="10" customFormat="1" x14ac:dyDescent="0.25">
      <c r="A179" s="19"/>
      <c r="B179" s="20"/>
      <c r="C179" s="20"/>
      <c r="D179" s="20"/>
      <c r="E179" s="27"/>
      <c r="F179" s="21"/>
      <c r="G179" s="22"/>
      <c r="H179" s="25"/>
      <c r="I179" s="31"/>
      <c r="J179" s="31"/>
      <c r="K179" s="25"/>
      <c r="L179" s="25"/>
      <c r="N179" s="23"/>
      <c r="O179" s="11"/>
    </row>
    <row r="180" spans="1:15" s="10" customFormat="1" x14ac:dyDescent="0.25">
      <c r="A180" s="19"/>
      <c r="B180" s="20"/>
      <c r="C180" s="20"/>
      <c r="D180" s="20"/>
      <c r="E180" s="27"/>
      <c r="F180" s="21"/>
      <c r="G180" s="22"/>
      <c r="H180" s="25"/>
      <c r="I180" s="31"/>
      <c r="J180" s="31"/>
      <c r="K180" s="25"/>
      <c r="L180" s="25"/>
      <c r="N180" s="23"/>
      <c r="O180" s="11"/>
    </row>
    <row r="181" spans="1:15" s="10" customFormat="1" x14ac:dyDescent="0.25">
      <c r="A181" s="19"/>
      <c r="B181" s="20"/>
      <c r="C181" s="20"/>
      <c r="D181" s="20"/>
      <c r="E181" s="27"/>
      <c r="F181" s="21"/>
      <c r="G181" s="22"/>
      <c r="H181" s="25"/>
      <c r="I181" s="31"/>
      <c r="J181" s="31"/>
      <c r="K181" s="25"/>
      <c r="L181" s="25"/>
      <c r="N181" s="23"/>
      <c r="O181" s="11"/>
    </row>
    <row r="182" spans="1:15" s="10" customFormat="1" x14ac:dyDescent="0.25">
      <c r="A182" s="19"/>
      <c r="B182" s="20"/>
      <c r="C182" s="20"/>
      <c r="D182" s="20"/>
      <c r="E182" s="27"/>
      <c r="F182" s="21"/>
      <c r="G182" s="22"/>
      <c r="H182" s="25"/>
      <c r="I182" s="31"/>
      <c r="J182" s="31"/>
      <c r="K182" s="25"/>
      <c r="L182" s="25"/>
      <c r="N182" s="23"/>
      <c r="O182" s="11"/>
    </row>
    <row r="183" spans="1:15" s="10" customFormat="1" x14ac:dyDescent="0.25">
      <c r="A183" s="19"/>
      <c r="B183" s="20"/>
      <c r="C183" s="20"/>
      <c r="D183" s="20"/>
      <c r="E183" s="27"/>
      <c r="F183" s="21"/>
      <c r="G183" s="22"/>
      <c r="H183" s="25"/>
      <c r="I183" s="31"/>
      <c r="J183" s="31"/>
      <c r="K183" s="25"/>
      <c r="L183" s="25"/>
      <c r="N183" s="23"/>
      <c r="O183" s="11"/>
    </row>
    <row r="184" spans="1:15" s="10" customFormat="1" x14ac:dyDescent="0.25">
      <c r="A184" s="19"/>
      <c r="B184" s="20"/>
      <c r="C184" s="20"/>
      <c r="D184" s="20"/>
      <c r="E184" s="27"/>
      <c r="F184" s="21"/>
      <c r="G184" s="22"/>
      <c r="H184" s="25"/>
      <c r="I184" s="31"/>
      <c r="J184" s="31"/>
      <c r="K184" s="25"/>
      <c r="L184" s="25"/>
      <c r="N184" s="23"/>
      <c r="O184" s="11"/>
    </row>
    <row r="185" spans="1:15" s="10" customFormat="1" x14ac:dyDescent="0.25">
      <c r="A185" s="19"/>
      <c r="B185" s="20"/>
      <c r="C185" s="20"/>
      <c r="D185" s="20"/>
      <c r="E185" s="27"/>
      <c r="F185" s="21"/>
      <c r="G185" s="22"/>
      <c r="H185" s="25"/>
      <c r="I185" s="31"/>
      <c r="J185" s="31"/>
      <c r="K185" s="25"/>
      <c r="L185" s="25"/>
      <c r="N185" s="23"/>
      <c r="O185" s="11"/>
    </row>
    <row r="186" spans="1:15" s="10" customFormat="1" x14ac:dyDescent="0.25">
      <c r="A186" s="19"/>
      <c r="B186" s="20"/>
      <c r="C186" s="20"/>
      <c r="D186" s="20"/>
      <c r="E186" s="27"/>
      <c r="F186" s="21"/>
      <c r="G186" s="22"/>
      <c r="H186" s="25"/>
      <c r="I186" s="31"/>
      <c r="J186" s="31"/>
      <c r="K186" s="25"/>
      <c r="L186" s="25"/>
      <c r="N186" s="23"/>
      <c r="O186" s="11"/>
    </row>
    <row r="187" spans="1:15" s="10" customFormat="1" x14ac:dyDescent="0.25">
      <c r="A187" s="19"/>
      <c r="B187" s="20"/>
      <c r="C187" s="20"/>
      <c r="D187" s="20"/>
      <c r="E187" s="27"/>
      <c r="F187" s="21"/>
      <c r="G187" s="22"/>
      <c r="H187" s="25"/>
      <c r="I187" s="31"/>
      <c r="J187" s="31"/>
      <c r="K187" s="25"/>
      <c r="L187" s="25"/>
      <c r="N187" s="23"/>
      <c r="O187" s="11"/>
    </row>
    <row r="188" spans="1:15" s="10" customFormat="1" x14ac:dyDescent="0.25">
      <c r="A188" s="19"/>
      <c r="B188" s="20"/>
      <c r="C188" s="20"/>
      <c r="D188" s="20"/>
      <c r="E188" s="27"/>
      <c r="F188" s="21"/>
      <c r="G188" s="22"/>
      <c r="H188" s="25"/>
      <c r="I188" s="31"/>
      <c r="J188" s="31"/>
      <c r="K188" s="25"/>
      <c r="L188" s="25"/>
      <c r="N188" s="23"/>
      <c r="O188" s="11"/>
    </row>
    <row r="189" spans="1:15" s="10" customFormat="1" x14ac:dyDescent="0.25">
      <c r="A189" s="19"/>
      <c r="B189" s="20"/>
      <c r="C189" s="20"/>
      <c r="D189" s="20"/>
      <c r="E189" s="27"/>
      <c r="F189" s="21"/>
      <c r="G189" s="22"/>
      <c r="H189" s="25"/>
      <c r="I189" s="31"/>
      <c r="J189" s="31"/>
      <c r="K189" s="25"/>
      <c r="L189" s="25"/>
      <c r="N189" s="23"/>
      <c r="O189" s="11"/>
    </row>
    <row r="190" spans="1:15" s="10" customFormat="1" x14ac:dyDescent="0.25">
      <c r="A190" s="19"/>
      <c r="B190" s="20"/>
      <c r="C190" s="20"/>
      <c r="D190" s="20"/>
      <c r="E190" s="27"/>
      <c r="F190" s="21"/>
      <c r="G190" s="22"/>
      <c r="H190" s="25"/>
      <c r="I190" s="31"/>
      <c r="J190" s="31"/>
      <c r="K190" s="25"/>
      <c r="L190" s="25"/>
      <c r="N190" s="23"/>
      <c r="O190" s="11"/>
    </row>
    <row r="191" spans="1:15" s="10" customFormat="1" x14ac:dyDescent="0.25">
      <c r="A191" s="19"/>
      <c r="B191" s="20"/>
      <c r="C191" s="20"/>
      <c r="D191" s="20"/>
      <c r="E191" s="27"/>
      <c r="F191" s="21"/>
      <c r="G191" s="22"/>
      <c r="H191" s="25"/>
      <c r="I191" s="31"/>
      <c r="J191" s="31"/>
      <c r="K191" s="25"/>
      <c r="L191" s="25"/>
      <c r="N191" s="23"/>
      <c r="O191" s="11"/>
    </row>
    <row r="192" spans="1:15" s="10" customFormat="1" x14ac:dyDescent="0.25">
      <c r="A192" s="19"/>
      <c r="B192" s="20"/>
      <c r="C192" s="20"/>
      <c r="D192" s="20"/>
      <c r="E192" s="27"/>
      <c r="F192" s="21"/>
      <c r="G192" s="22"/>
      <c r="H192" s="25"/>
      <c r="I192" s="31"/>
      <c r="J192" s="31"/>
      <c r="K192" s="25"/>
      <c r="L192" s="25"/>
      <c r="N192" s="23"/>
      <c r="O192" s="11"/>
    </row>
    <row r="193" spans="1:15" s="10" customFormat="1" x14ac:dyDescent="0.25">
      <c r="A193" s="19"/>
      <c r="B193" s="20"/>
      <c r="C193" s="20"/>
      <c r="D193" s="20"/>
      <c r="E193" s="27"/>
      <c r="F193" s="21"/>
      <c r="G193" s="22"/>
      <c r="H193" s="25"/>
      <c r="I193" s="31"/>
      <c r="J193" s="31"/>
      <c r="K193" s="25"/>
      <c r="L193" s="25"/>
      <c r="N193" s="23"/>
      <c r="O193" s="11"/>
    </row>
    <row r="194" spans="1:15" s="10" customFormat="1" x14ac:dyDescent="0.25">
      <c r="A194" s="19"/>
      <c r="B194" s="20"/>
      <c r="C194" s="20"/>
      <c r="D194" s="20"/>
      <c r="E194" s="27"/>
      <c r="F194" s="21"/>
      <c r="G194" s="22"/>
      <c r="H194" s="25"/>
      <c r="I194" s="31"/>
      <c r="J194" s="31"/>
      <c r="K194" s="25"/>
      <c r="L194" s="25"/>
      <c r="N194" s="23"/>
      <c r="O194" s="11"/>
    </row>
    <row r="195" spans="1:15" s="10" customFormat="1" x14ac:dyDescent="0.25">
      <c r="A195" s="19"/>
      <c r="B195" s="20"/>
      <c r="C195" s="20"/>
      <c r="D195" s="20"/>
      <c r="E195" s="27"/>
      <c r="F195" s="21"/>
      <c r="G195" s="22"/>
      <c r="H195" s="25"/>
      <c r="I195" s="31"/>
      <c r="J195" s="31"/>
      <c r="K195" s="25"/>
      <c r="L195" s="25"/>
      <c r="N195" s="23"/>
      <c r="O195" s="11"/>
    </row>
    <row r="196" spans="1:15" s="10" customFormat="1" x14ac:dyDescent="0.25">
      <c r="A196" s="19"/>
      <c r="B196" s="20"/>
      <c r="C196" s="20"/>
      <c r="D196" s="20"/>
      <c r="E196" s="27"/>
      <c r="F196" s="21"/>
      <c r="G196" s="22"/>
      <c r="H196" s="25"/>
      <c r="I196" s="31"/>
      <c r="J196" s="31"/>
      <c r="K196" s="25"/>
      <c r="L196" s="25"/>
      <c r="N196" s="23"/>
      <c r="O196" s="11"/>
    </row>
    <row r="197" spans="1:15" s="10" customFormat="1" x14ac:dyDescent="0.25">
      <c r="A197" s="19"/>
      <c r="B197" s="20"/>
      <c r="C197" s="20"/>
      <c r="D197" s="20"/>
      <c r="E197" s="27"/>
      <c r="F197" s="21"/>
      <c r="G197" s="22"/>
      <c r="H197" s="25"/>
      <c r="I197" s="31"/>
      <c r="J197" s="31"/>
      <c r="K197" s="25"/>
      <c r="L197" s="25"/>
      <c r="N197" s="23"/>
      <c r="O197" s="11"/>
    </row>
    <row r="198" spans="1:15" s="10" customFormat="1" x14ac:dyDescent="0.25">
      <c r="A198" s="19"/>
      <c r="B198" s="20"/>
      <c r="C198" s="20"/>
      <c r="D198" s="20"/>
      <c r="E198" s="27"/>
      <c r="F198" s="21"/>
      <c r="G198" s="22"/>
      <c r="H198" s="25"/>
      <c r="I198" s="31"/>
      <c r="J198" s="31"/>
      <c r="K198" s="25"/>
      <c r="L198" s="25"/>
      <c r="N198" s="23"/>
      <c r="O198" s="11"/>
    </row>
    <row r="199" spans="1:15" s="10" customFormat="1" x14ac:dyDescent="0.25">
      <c r="A199" s="19"/>
      <c r="B199" s="20"/>
      <c r="C199" s="20"/>
      <c r="D199" s="20"/>
      <c r="E199" s="27"/>
      <c r="F199" s="21"/>
      <c r="G199" s="22"/>
      <c r="H199" s="25"/>
      <c r="I199" s="31"/>
      <c r="J199" s="31"/>
      <c r="K199" s="25"/>
      <c r="L199" s="25"/>
      <c r="N199" s="23"/>
      <c r="O199" s="11"/>
    </row>
    <row r="200" spans="1:15" s="10" customFormat="1" x14ac:dyDescent="0.25">
      <c r="A200" s="19"/>
      <c r="B200" s="20"/>
      <c r="C200" s="20"/>
      <c r="D200" s="20"/>
      <c r="E200" s="27"/>
      <c r="F200" s="21"/>
      <c r="G200" s="22"/>
      <c r="H200" s="25"/>
      <c r="I200" s="31"/>
      <c r="J200" s="31"/>
      <c r="K200" s="25"/>
      <c r="L200" s="25"/>
      <c r="N200" s="23"/>
      <c r="O200" s="11"/>
    </row>
    <row r="201" spans="1:15" s="10" customFormat="1" x14ac:dyDescent="0.25">
      <c r="A201" s="19"/>
      <c r="B201" s="20"/>
      <c r="C201" s="20"/>
      <c r="D201" s="20"/>
      <c r="E201" s="27"/>
      <c r="F201" s="21"/>
      <c r="G201" s="22"/>
      <c r="H201" s="25"/>
      <c r="I201" s="31"/>
      <c r="J201" s="31"/>
      <c r="K201" s="25"/>
      <c r="L201" s="25"/>
      <c r="N201" s="23"/>
      <c r="O201" s="11"/>
    </row>
    <row r="202" spans="1:15" s="10" customFormat="1" x14ac:dyDescent="0.25">
      <c r="A202" s="19"/>
      <c r="B202" s="20"/>
      <c r="C202" s="20"/>
      <c r="D202" s="20"/>
      <c r="E202" s="27"/>
      <c r="F202" s="21"/>
      <c r="G202" s="22"/>
      <c r="H202" s="25"/>
      <c r="I202" s="31"/>
      <c r="J202" s="31"/>
      <c r="K202" s="25"/>
      <c r="L202" s="25"/>
      <c r="N202" s="23"/>
      <c r="O202" s="11"/>
    </row>
    <row r="203" spans="1:15" s="10" customFormat="1" x14ac:dyDescent="0.25">
      <c r="A203" s="19"/>
      <c r="B203" s="20"/>
      <c r="C203" s="20"/>
      <c r="D203" s="20"/>
      <c r="E203" s="27"/>
      <c r="F203" s="21"/>
      <c r="G203" s="22"/>
      <c r="H203" s="25"/>
      <c r="I203" s="31"/>
      <c r="J203" s="31"/>
      <c r="K203" s="25"/>
      <c r="L203" s="25"/>
      <c r="N203" s="23"/>
      <c r="O203" s="11"/>
    </row>
    <row r="204" spans="1:15" s="10" customFormat="1" x14ac:dyDescent="0.25">
      <c r="A204" s="19"/>
      <c r="B204" s="20"/>
      <c r="C204" s="20"/>
      <c r="D204" s="20"/>
      <c r="E204" s="27"/>
      <c r="F204" s="21"/>
      <c r="G204" s="22"/>
      <c r="H204" s="25"/>
      <c r="I204" s="31"/>
      <c r="J204" s="31"/>
      <c r="K204" s="25"/>
      <c r="L204" s="25"/>
      <c r="N204" s="23"/>
      <c r="O204" s="11"/>
    </row>
    <row r="205" spans="1:15" s="10" customFormat="1" x14ac:dyDescent="0.25">
      <c r="A205" s="19"/>
      <c r="B205" s="20"/>
      <c r="C205" s="20"/>
      <c r="D205" s="20"/>
      <c r="E205" s="27"/>
      <c r="F205" s="21"/>
      <c r="G205" s="22"/>
      <c r="H205" s="25"/>
      <c r="I205" s="31"/>
      <c r="J205" s="31"/>
      <c r="K205" s="25"/>
      <c r="L205" s="25"/>
      <c r="N205" s="23"/>
      <c r="O205" s="11"/>
    </row>
    <row r="206" spans="1:15" s="10" customFormat="1" x14ac:dyDescent="0.25">
      <c r="A206" s="19"/>
      <c r="B206" s="20"/>
      <c r="C206" s="20"/>
      <c r="D206" s="20"/>
      <c r="E206" s="27"/>
      <c r="F206" s="21"/>
      <c r="G206" s="22"/>
      <c r="H206" s="25"/>
      <c r="I206" s="31"/>
      <c r="J206" s="31"/>
      <c r="K206" s="25"/>
      <c r="L206" s="25"/>
      <c r="N206" s="23"/>
      <c r="O206" s="11"/>
    </row>
    <row r="207" spans="1:15" s="10" customFormat="1" x14ac:dyDescent="0.25">
      <c r="A207" s="19"/>
      <c r="B207" s="20"/>
      <c r="C207" s="20"/>
      <c r="D207" s="20"/>
      <c r="E207" s="27"/>
      <c r="F207" s="21"/>
      <c r="G207" s="22"/>
      <c r="H207" s="25"/>
      <c r="I207" s="31"/>
      <c r="J207" s="31"/>
      <c r="K207" s="25"/>
      <c r="L207" s="25"/>
      <c r="N207" s="23"/>
      <c r="O207" s="11"/>
    </row>
    <row r="208" spans="1:15" s="10" customFormat="1" x14ac:dyDescent="0.25">
      <c r="A208" s="19"/>
      <c r="B208" s="20"/>
      <c r="C208" s="20"/>
      <c r="D208" s="20"/>
      <c r="E208" s="27"/>
      <c r="F208" s="21"/>
      <c r="G208" s="22"/>
      <c r="H208" s="25"/>
      <c r="I208" s="31"/>
      <c r="J208" s="31"/>
      <c r="K208" s="25"/>
      <c r="L208" s="25"/>
      <c r="N208" s="23"/>
      <c r="O208" s="11"/>
    </row>
  </sheetData>
  <autoFilter ref="A1:Q20" xr:uid="{00000000-0009-0000-0000-000001000000}">
    <sortState xmlns:xlrd2="http://schemas.microsoft.com/office/spreadsheetml/2017/richdata2" ref="A2:P39">
      <sortCondition ref="F1:F4"/>
    </sortState>
  </autoFilter>
  <conditionalFormatting sqref="E209:E1048576 E1:E3 E25 E29 E33 E37 E41 E45 E49 E53 E57 E61 E65 E69 E73 E77 E81 E85 E89 E93 E97 E101 E105 E109 E113 E117 E121 E125 E129">
    <cfRule type="duplicateValues" dxfId="145" priority="122"/>
  </conditionalFormatting>
  <conditionalFormatting sqref="E26 E30 E34 E38 E42 E46 E50 E54 E58 E62 E66 E70 E74 E78 E82 E86 E90 E94 E98 E102 E106 E110 E114 E118 E122 E126 E130">
    <cfRule type="duplicateValues" dxfId="144" priority="120"/>
  </conditionalFormatting>
  <conditionalFormatting sqref="E27:E28 E31:E32 E35:E36 E39:E40 E43:E44 E47:E48 E51:E52 E55:E56 E59:E60 E63:E64 E67:E68 E71:E72 E75:E76 E79:E80 E83:E84 E87:E88 E91:E92 E95:E96 E99:E100 E103:E104 E107:E108 E111:E112 E115:E116 E119:E120 E123:E124 E127:E128 E131">
    <cfRule type="duplicateValues" dxfId="143" priority="118"/>
  </conditionalFormatting>
  <conditionalFormatting sqref="B3:D3">
    <cfRule type="beginsWith" dxfId="142" priority="123" operator="beginsWith" text="[K_">
      <formula>LEFT(#REF!,LEN("[K_"))="[K_"</formula>
    </cfRule>
  </conditionalFormatting>
  <conditionalFormatting sqref="B21:D131 H25:H131">
    <cfRule type="beginsWith" dxfId="141" priority="119" operator="beginsWith" text="[K_">
      <formula>LEFT(#REF!,LEN("[K_"))="[K_"</formula>
    </cfRule>
  </conditionalFormatting>
  <conditionalFormatting sqref="E132:E208">
    <cfRule type="duplicateValues" dxfId="140" priority="116"/>
  </conditionalFormatting>
  <conditionalFormatting sqref="H132:H208 B132:D208">
    <cfRule type="beginsWith" dxfId="139" priority="117" operator="beginsWith" text="[K_">
      <formula>LEFT(#REF!,LEN("[K_"))="[K_"</formula>
    </cfRule>
  </conditionalFormatting>
  <conditionalFormatting sqref="E16 E12 E10 E8 E6 E4 E14 E18">
    <cfRule type="duplicateValues" dxfId="138" priority="114"/>
  </conditionalFormatting>
  <conditionalFormatting sqref="H12 B12:D12 B16:D16 B18:D18 B4:D4 H4 B6:D6 B8:D8 B10:D10 B14:D14 H14">
    <cfRule type="beginsWith" dxfId="137" priority="115" operator="beginsWith" text="[K_">
      <formula>LEFT(#REF!,LEN("[K_"))="[K_"</formula>
    </cfRule>
  </conditionalFormatting>
  <conditionalFormatting sqref="B20:D20">
    <cfRule type="beginsWith" dxfId="136" priority="113" operator="beginsWith" text="[K_">
      <formula>LEFT(#REF!,LEN("[K_"))="[K_"</formula>
    </cfRule>
  </conditionalFormatting>
  <conditionalFormatting sqref="F1:F1048576">
    <cfRule type="duplicateValues" dxfId="135" priority="111"/>
  </conditionalFormatting>
  <conditionalFormatting sqref="L20">
    <cfRule type="beginsWith" dxfId="134" priority="98" operator="beginsWith" text="[K_">
      <formula>LEFT(#REF!,LEN("[K_"))="[K_"</formula>
    </cfRule>
  </conditionalFormatting>
  <conditionalFormatting sqref="I1:J1">
    <cfRule type="beginsWith" dxfId="133" priority="110" operator="beginsWith" text="[K_">
      <formula>LEFT(I1,LEN("[K_"))="[K_"</formula>
    </cfRule>
  </conditionalFormatting>
  <conditionalFormatting sqref="K3 L4 K6:L6 K8:L8 L10 K14:L14">
    <cfRule type="beginsWith" dxfId="132" priority="109" operator="beginsWith" text="[K_">
      <formula>LEFT(#REF!,LEN("[K_"))="[K_"</formula>
    </cfRule>
  </conditionalFormatting>
  <conditionalFormatting sqref="K25:K131">
    <cfRule type="beginsWith" dxfId="131" priority="107" operator="beginsWith" text="[K_">
      <formula>LEFT(#REF!,LEN("[K_"))="[K_"</formula>
    </cfRule>
  </conditionalFormatting>
  <conditionalFormatting sqref="K132:K208">
    <cfRule type="beginsWith" dxfId="130" priority="106" operator="beginsWith" text="[K_">
      <formula>LEFT(#REF!,LEN("[K_"))="[K_"</formula>
    </cfRule>
  </conditionalFormatting>
  <conditionalFormatting sqref="K12 K16 K18">
    <cfRule type="beginsWith" dxfId="129" priority="105" operator="beginsWith" text="[K_">
      <formula>LEFT(#REF!,LEN("[K_"))="[K_"</formula>
    </cfRule>
  </conditionalFormatting>
  <conditionalFormatting sqref="L3">
    <cfRule type="beginsWith" dxfId="128" priority="103" operator="beginsWith" text="[K_">
      <formula>LEFT(#REF!,LEN("[K_"))="[K_"</formula>
    </cfRule>
  </conditionalFormatting>
  <conditionalFormatting sqref="L25:L131">
    <cfRule type="beginsWith" dxfId="127" priority="101" operator="beginsWith" text="[K_">
      <formula>LEFT(#REF!,LEN("[K_"))="[K_"</formula>
    </cfRule>
  </conditionalFormatting>
  <conditionalFormatting sqref="L132:L208">
    <cfRule type="beginsWith" dxfId="126" priority="100" operator="beginsWith" text="[K_">
      <formula>LEFT(#REF!,LEN("[K_"))="[K_"</formula>
    </cfRule>
  </conditionalFormatting>
  <conditionalFormatting sqref="L12 L16 L18">
    <cfRule type="beginsWith" dxfId="125" priority="99" operator="beginsWith" text="[K_">
      <formula>LEFT(#REF!,LEN("[K_"))="[K_"</formula>
    </cfRule>
  </conditionalFormatting>
  <conditionalFormatting sqref="E19">
    <cfRule type="duplicateValues" dxfId="124" priority="84"/>
  </conditionalFormatting>
  <conditionalFormatting sqref="B19:D19">
    <cfRule type="beginsWith" dxfId="123" priority="85" operator="beginsWith" text="[K_">
      <formula>LEFT(#REF!,LEN("[K_"))="[K_"</formula>
    </cfRule>
  </conditionalFormatting>
  <conditionalFormatting sqref="F19">
    <cfRule type="duplicateValues" dxfId="122" priority="83"/>
  </conditionalFormatting>
  <conditionalFormatting sqref="K19">
    <cfRule type="beginsWith" dxfId="121" priority="82" operator="beginsWith" text="[K_">
      <formula>LEFT(#REF!,LEN("[K_"))="[K_"</formula>
    </cfRule>
  </conditionalFormatting>
  <conditionalFormatting sqref="L19">
    <cfRule type="beginsWith" dxfId="120" priority="81" operator="beginsWith" text="[K_">
      <formula>LEFT(#REF!,LEN("[K_"))="[K_"</formula>
    </cfRule>
  </conditionalFormatting>
  <conditionalFormatting sqref="E5">
    <cfRule type="duplicateValues" dxfId="119" priority="79"/>
  </conditionalFormatting>
  <conditionalFormatting sqref="B5:D5 H5">
    <cfRule type="beginsWith" dxfId="118" priority="80" operator="beginsWith" text="[K_">
      <formula>LEFT(#REF!,LEN("[K_"))="[K_"</formula>
    </cfRule>
  </conditionalFormatting>
  <conditionalFormatting sqref="F5">
    <cfRule type="duplicateValues" dxfId="117" priority="78"/>
  </conditionalFormatting>
  <conditionalFormatting sqref="L5">
    <cfRule type="beginsWith" dxfId="116" priority="77" operator="beginsWith" text="[K_">
      <formula>LEFT(#REF!,LEN("[K_"))="[K_"</formula>
    </cfRule>
  </conditionalFormatting>
  <conditionalFormatting sqref="E7">
    <cfRule type="duplicateValues" dxfId="115" priority="75"/>
  </conditionalFormatting>
  <conditionalFormatting sqref="B7:D7">
    <cfRule type="beginsWith" dxfId="114" priority="76" operator="beginsWith" text="[K_">
      <formula>LEFT(#REF!,LEN("[K_"))="[K_"</formula>
    </cfRule>
  </conditionalFormatting>
  <conditionalFormatting sqref="F7">
    <cfRule type="duplicateValues" dxfId="113" priority="74"/>
  </conditionalFormatting>
  <conditionalFormatting sqref="K7">
    <cfRule type="beginsWith" dxfId="112" priority="73" operator="beginsWith" text="[K_">
      <formula>LEFT(#REF!,LEN("[K_"))="[K_"</formula>
    </cfRule>
  </conditionalFormatting>
  <conditionalFormatting sqref="L7">
    <cfRule type="beginsWith" dxfId="111" priority="72" operator="beginsWith" text="[K_">
      <formula>LEFT(#REF!,LEN("[K_"))="[K_"</formula>
    </cfRule>
  </conditionalFormatting>
  <conditionalFormatting sqref="E9">
    <cfRule type="duplicateValues" dxfId="110" priority="70"/>
  </conditionalFormatting>
  <conditionalFormatting sqref="B9:D9">
    <cfRule type="beginsWith" dxfId="109" priority="71" operator="beginsWith" text="[K_">
      <formula>LEFT(#REF!,LEN("[K_"))="[K_"</formula>
    </cfRule>
  </conditionalFormatting>
  <conditionalFormatting sqref="F9">
    <cfRule type="duplicateValues" dxfId="108" priority="69"/>
  </conditionalFormatting>
  <conditionalFormatting sqref="K9">
    <cfRule type="beginsWith" dxfId="107" priority="68" operator="beginsWith" text="[K_">
      <formula>LEFT(#REF!,LEN("[K_"))="[K_"</formula>
    </cfRule>
  </conditionalFormatting>
  <conditionalFormatting sqref="L9">
    <cfRule type="beginsWith" dxfId="106" priority="67" operator="beginsWith" text="[K_">
      <formula>LEFT(#REF!,LEN("[K_"))="[K_"</formula>
    </cfRule>
  </conditionalFormatting>
  <conditionalFormatting sqref="E11">
    <cfRule type="duplicateValues" dxfId="105" priority="65"/>
  </conditionalFormatting>
  <conditionalFormatting sqref="B11:D11">
    <cfRule type="beginsWith" dxfId="104" priority="66" operator="beginsWith" text="[K_">
      <formula>LEFT(#REF!,LEN("[K_"))="[K_"</formula>
    </cfRule>
  </conditionalFormatting>
  <conditionalFormatting sqref="F11">
    <cfRule type="duplicateValues" dxfId="103" priority="64"/>
  </conditionalFormatting>
  <conditionalFormatting sqref="L11">
    <cfRule type="beginsWith" dxfId="102" priority="63" operator="beginsWith" text="[K_">
      <formula>LEFT(#REF!,LEN("[K_"))="[K_"</formula>
    </cfRule>
  </conditionalFormatting>
  <conditionalFormatting sqref="E13">
    <cfRule type="duplicateValues" dxfId="101" priority="61"/>
  </conditionalFormatting>
  <conditionalFormatting sqref="H13 B13:D13">
    <cfRule type="beginsWith" dxfId="100" priority="62" operator="beginsWith" text="[K_">
      <formula>LEFT(#REF!,LEN("[K_"))="[K_"</formula>
    </cfRule>
  </conditionalFormatting>
  <conditionalFormatting sqref="F13">
    <cfRule type="duplicateValues" dxfId="99" priority="60"/>
  </conditionalFormatting>
  <conditionalFormatting sqref="K13">
    <cfRule type="beginsWith" dxfId="98" priority="59" operator="beginsWith" text="[K_">
      <formula>LEFT(#REF!,LEN("[K_"))="[K_"</formula>
    </cfRule>
  </conditionalFormatting>
  <conditionalFormatting sqref="L13">
    <cfRule type="beginsWith" dxfId="97" priority="58" operator="beginsWith" text="[K_">
      <formula>LEFT(#REF!,LEN("[K_"))="[K_"</formula>
    </cfRule>
  </conditionalFormatting>
  <conditionalFormatting sqref="E15">
    <cfRule type="duplicateValues" dxfId="96" priority="56"/>
  </conditionalFormatting>
  <conditionalFormatting sqref="B15:D15 H15">
    <cfRule type="beginsWith" dxfId="95" priority="57" operator="beginsWith" text="[K_">
      <formula>LEFT(#REF!,LEN("[K_"))="[K_"</formula>
    </cfRule>
  </conditionalFormatting>
  <conditionalFormatting sqref="F15">
    <cfRule type="duplicateValues" dxfId="94" priority="55"/>
  </conditionalFormatting>
  <conditionalFormatting sqref="K15">
    <cfRule type="beginsWith" dxfId="93" priority="54" operator="beginsWith" text="[K_">
      <formula>LEFT(#REF!,LEN("[K_"))="[K_"</formula>
    </cfRule>
  </conditionalFormatting>
  <conditionalFormatting sqref="L15">
    <cfRule type="beginsWith" dxfId="92" priority="53" operator="beginsWith" text="[K_">
      <formula>LEFT(#REF!,LEN("[K_"))="[K_"</formula>
    </cfRule>
  </conditionalFormatting>
  <conditionalFormatting sqref="E17">
    <cfRule type="duplicateValues" dxfId="91" priority="51"/>
  </conditionalFormatting>
  <conditionalFormatting sqref="B17:D17">
    <cfRule type="beginsWith" dxfId="90" priority="52" operator="beginsWith" text="[K_">
      <formula>LEFT(#REF!,LEN("[K_"))="[K_"</formula>
    </cfRule>
  </conditionalFormatting>
  <conditionalFormatting sqref="F17">
    <cfRule type="duplicateValues" dxfId="89" priority="50"/>
  </conditionalFormatting>
  <conditionalFormatting sqref="K17">
    <cfRule type="beginsWith" dxfId="88" priority="49" operator="beginsWith" text="[K_">
      <formula>LEFT(#REF!,LEN("[K_"))="[K_"</formula>
    </cfRule>
  </conditionalFormatting>
  <conditionalFormatting sqref="L17">
    <cfRule type="beginsWith" dxfId="87" priority="48" operator="beginsWith" text="[K_">
      <formula>LEFT(#REF!,LEN("[K_"))="[K_"</formula>
    </cfRule>
  </conditionalFormatting>
  <conditionalFormatting sqref="E20">
    <cfRule type="duplicateValues" dxfId="86" priority="295"/>
  </conditionalFormatting>
  <conditionalFormatting sqref="E15 E11 E9 E7 E5 E3 E13 E17">
    <cfRule type="duplicateValues" dxfId="85" priority="41"/>
  </conditionalFormatting>
  <conditionalFormatting sqref="H11 H3 H13">
    <cfRule type="beginsWith" dxfId="84" priority="42" operator="beginsWith" text="[K_">
      <formula>LEFT(#REF!,LEN("[K_"))="[K_"</formula>
    </cfRule>
  </conditionalFormatting>
  <conditionalFormatting sqref="L19">
    <cfRule type="beginsWith" dxfId="83" priority="37" operator="beginsWith" text="[K_">
      <formula>LEFT(#REF!,LEN("[K_"))="[K_"</formula>
    </cfRule>
  </conditionalFormatting>
  <conditionalFormatting sqref="L3 K5:L5 K7:L7 L9 K13:L13">
    <cfRule type="beginsWith" dxfId="82" priority="40" operator="beginsWith" text="[K_">
      <formula>LEFT(#REF!,LEN("[K_"))="[K_"</formula>
    </cfRule>
  </conditionalFormatting>
  <conditionalFormatting sqref="K11 K15 K17">
    <cfRule type="beginsWith" dxfId="81" priority="39" operator="beginsWith" text="[K_">
      <formula>LEFT(#REF!,LEN("[K_"))="[K_"</formula>
    </cfRule>
  </conditionalFormatting>
  <conditionalFormatting sqref="L11 L15 L17">
    <cfRule type="beginsWith" dxfId="80" priority="38" operator="beginsWith" text="[K_">
      <formula>LEFT(#REF!,LEN("[K_"))="[K_"</formula>
    </cfRule>
  </conditionalFormatting>
  <conditionalFormatting sqref="E18">
    <cfRule type="duplicateValues" dxfId="79" priority="36"/>
  </conditionalFormatting>
  <conditionalFormatting sqref="F18">
    <cfRule type="duplicateValues" dxfId="78" priority="35"/>
  </conditionalFormatting>
  <conditionalFormatting sqref="K18">
    <cfRule type="beginsWith" dxfId="77" priority="34" operator="beginsWith" text="[K_">
      <formula>LEFT(#REF!,LEN("[K_"))="[K_"</formula>
    </cfRule>
  </conditionalFormatting>
  <conditionalFormatting sqref="L18">
    <cfRule type="beginsWith" dxfId="76" priority="33" operator="beginsWith" text="[K_">
      <formula>LEFT(#REF!,LEN("[K_"))="[K_"</formula>
    </cfRule>
  </conditionalFormatting>
  <conditionalFormatting sqref="E4">
    <cfRule type="duplicateValues" dxfId="75" priority="31"/>
  </conditionalFormatting>
  <conditionalFormatting sqref="H4">
    <cfRule type="beginsWith" dxfId="74" priority="32" operator="beginsWith" text="[K_">
      <formula>LEFT(#REF!,LEN("[K_"))="[K_"</formula>
    </cfRule>
  </conditionalFormatting>
  <conditionalFormatting sqref="F4">
    <cfRule type="duplicateValues" dxfId="73" priority="30"/>
  </conditionalFormatting>
  <conditionalFormatting sqref="L4">
    <cfRule type="beginsWith" dxfId="72" priority="29" operator="beginsWith" text="[K_">
      <formula>LEFT(#REF!,LEN("[K_"))="[K_"</formula>
    </cfRule>
  </conditionalFormatting>
  <conditionalFormatting sqref="E6">
    <cfRule type="duplicateValues" dxfId="71" priority="28"/>
  </conditionalFormatting>
  <conditionalFormatting sqref="F6">
    <cfRule type="duplicateValues" dxfId="70" priority="27"/>
  </conditionalFormatting>
  <conditionalFormatting sqref="K6">
    <cfRule type="beginsWith" dxfId="69" priority="26" operator="beginsWith" text="[K_">
      <formula>LEFT(#REF!,LEN("[K_"))="[K_"</formula>
    </cfRule>
  </conditionalFormatting>
  <conditionalFormatting sqref="L6">
    <cfRule type="beginsWith" dxfId="68" priority="25" operator="beginsWith" text="[K_">
      <formula>LEFT(#REF!,LEN("[K_"))="[K_"</formula>
    </cfRule>
  </conditionalFormatting>
  <conditionalFormatting sqref="E8">
    <cfRule type="duplicateValues" dxfId="67" priority="24"/>
  </conditionalFormatting>
  <conditionalFormatting sqref="F8">
    <cfRule type="duplicateValues" dxfId="66" priority="23"/>
  </conditionalFormatting>
  <conditionalFormatting sqref="K8">
    <cfRule type="beginsWith" dxfId="65" priority="22" operator="beginsWith" text="[K_">
      <formula>LEFT(#REF!,LEN("[K_"))="[K_"</formula>
    </cfRule>
  </conditionalFormatting>
  <conditionalFormatting sqref="L8">
    <cfRule type="beginsWith" dxfId="64" priority="21" operator="beginsWith" text="[K_">
      <formula>LEFT(#REF!,LEN("[K_"))="[K_"</formula>
    </cfRule>
  </conditionalFormatting>
  <conditionalFormatting sqref="E10">
    <cfRule type="duplicateValues" dxfId="63" priority="20"/>
  </conditionalFormatting>
  <conditionalFormatting sqref="F10">
    <cfRule type="duplicateValues" dxfId="62" priority="19"/>
  </conditionalFormatting>
  <conditionalFormatting sqref="L10">
    <cfRule type="beginsWith" dxfId="61" priority="18" operator="beginsWith" text="[K_">
      <formula>LEFT(#REF!,LEN("[K_"))="[K_"</formula>
    </cfRule>
  </conditionalFormatting>
  <conditionalFormatting sqref="E12">
    <cfRule type="duplicateValues" dxfId="60" priority="16"/>
  </conditionalFormatting>
  <conditionalFormatting sqref="H12">
    <cfRule type="beginsWith" dxfId="59" priority="17" operator="beginsWith" text="[K_">
      <formula>LEFT(#REF!,LEN("[K_"))="[K_"</formula>
    </cfRule>
  </conditionalFormatting>
  <conditionalFormatting sqref="F12">
    <cfRule type="duplicateValues" dxfId="58" priority="15"/>
  </conditionalFormatting>
  <conditionalFormatting sqref="K12">
    <cfRule type="beginsWith" dxfId="57" priority="14" operator="beginsWith" text="[K_">
      <formula>LEFT(#REF!,LEN("[K_"))="[K_"</formula>
    </cfRule>
  </conditionalFormatting>
  <conditionalFormatting sqref="L12">
    <cfRule type="beginsWith" dxfId="56" priority="13" operator="beginsWith" text="[K_">
      <formula>LEFT(#REF!,LEN("[K_"))="[K_"</formula>
    </cfRule>
  </conditionalFormatting>
  <conditionalFormatting sqref="E14">
    <cfRule type="duplicateValues" dxfId="55" priority="11"/>
  </conditionalFormatting>
  <conditionalFormatting sqref="H14">
    <cfRule type="beginsWith" dxfId="54" priority="12" operator="beginsWith" text="[K_">
      <formula>LEFT(#REF!,LEN("[K_"))="[K_"</formula>
    </cfRule>
  </conditionalFormatting>
  <conditionalFormatting sqref="F14">
    <cfRule type="duplicateValues" dxfId="53" priority="10"/>
  </conditionalFormatting>
  <conditionalFormatting sqref="K14">
    <cfRule type="beginsWith" dxfId="52" priority="9" operator="beginsWith" text="[K_">
      <formula>LEFT(#REF!,LEN("[K_"))="[K_"</formula>
    </cfRule>
  </conditionalFormatting>
  <conditionalFormatting sqref="L14">
    <cfRule type="beginsWith" dxfId="51" priority="8" operator="beginsWith" text="[K_">
      <formula>LEFT(#REF!,LEN("[K_"))="[K_"</formula>
    </cfRule>
  </conditionalFormatting>
  <conditionalFormatting sqref="E16">
    <cfRule type="duplicateValues" dxfId="50" priority="7"/>
  </conditionalFormatting>
  <conditionalFormatting sqref="F16">
    <cfRule type="duplicateValues" dxfId="49" priority="6"/>
  </conditionalFormatting>
  <conditionalFormatting sqref="K16">
    <cfRule type="beginsWith" dxfId="48" priority="5" operator="beginsWith" text="[K_">
      <formula>LEFT(#REF!,LEN("[K_"))="[K_"</formula>
    </cfRule>
  </conditionalFormatting>
  <conditionalFormatting sqref="L16">
    <cfRule type="beginsWith" dxfId="47" priority="4" operator="beginsWith" text="[K_">
      <formula>LEFT(#REF!,LEN("[K_"))="[K_"</formula>
    </cfRule>
  </conditionalFormatting>
  <conditionalFormatting sqref="E20">
    <cfRule type="duplicateValues" dxfId="46" priority="3"/>
  </conditionalFormatting>
  <conditionalFormatting sqref="F20">
    <cfRule type="duplicateValues" dxfId="45" priority="2"/>
  </conditionalFormatting>
  <conditionalFormatting sqref="L20">
    <cfRule type="beginsWith" dxfId="44" priority="1" operator="beginsWith" text="[K_">
      <formula>LEFT(#REF!,LEN("[K_"))="[K_"</formula>
    </cfRule>
  </conditionalFormatting>
  <conditionalFormatting sqref="E19">
    <cfRule type="duplicateValues" dxfId="43" priority="4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A772-69C2-4277-86B9-1F488A86CD69}">
  <dimension ref="A1:P249"/>
  <sheetViews>
    <sheetView zoomScaleNormal="100" workbookViewId="0">
      <selection activeCell="I57" sqref="I57"/>
    </sheetView>
  </sheetViews>
  <sheetFormatPr baseColWidth="10" defaultColWidth="11.42578125" defaultRowHeight="15" x14ac:dyDescent="0.25"/>
  <cols>
    <col min="1" max="1" width="3.28515625" style="13" customWidth="1"/>
    <col min="2" max="4" width="4.140625" customWidth="1"/>
    <col min="5" max="5" width="25.85546875" style="15" bestFit="1" customWidth="1"/>
    <col min="6" max="6" width="36.140625" style="9" bestFit="1" customWidth="1"/>
    <col min="7" max="7" width="49" style="9" bestFit="1" customWidth="1"/>
    <col min="8" max="9" width="39" style="26" bestFit="1" customWidth="1"/>
    <col min="10" max="10" width="31.7109375" style="31" bestFit="1" customWidth="1"/>
    <col min="11" max="11" width="26.28515625" style="26" bestFit="1" customWidth="1"/>
    <col min="12" max="12" width="17.140625" customWidth="1"/>
    <col min="13" max="13" width="25.28515625" customWidth="1"/>
    <col min="14" max="14" width="17.42578125" style="12" customWidth="1"/>
  </cols>
  <sheetData>
    <row r="1" spans="1:16" s="18" customFormat="1" x14ac:dyDescent="0.25">
      <c r="A1" s="17" t="s">
        <v>8</v>
      </c>
      <c r="B1" s="18" t="s">
        <v>0</v>
      </c>
      <c r="C1" s="18" t="s">
        <v>1</v>
      </c>
      <c r="D1" s="18" t="s">
        <v>2</v>
      </c>
      <c r="E1" t="s">
        <v>493</v>
      </c>
      <c r="F1" t="s">
        <v>876</v>
      </c>
      <c r="G1" t="s">
        <v>877</v>
      </c>
      <c r="H1" t="s">
        <v>878</v>
      </c>
      <c r="I1" t="s">
        <v>879</v>
      </c>
      <c r="J1" t="s">
        <v>880</v>
      </c>
      <c r="K1" t="s">
        <v>881</v>
      </c>
      <c r="M1" s="18" t="s">
        <v>9</v>
      </c>
      <c r="N1" s="18" t="str">
        <f>TABLE!A1</f>
        <v>PG_CI_CUSTOMER</v>
      </c>
      <c r="O1" s="18" t="s">
        <v>6</v>
      </c>
      <c r="P1" s="18" t="str">
        <f>CONCATENATE($M$1,$N$1,$O$1,B3, ", ", C3, ", ", D3, ", ", )</f>
        <v xml:space="preserve">EXECUTE [dbo].[PG_CI_CUSTOMER] 0, 0, 0, </v>
      </c>
    </row>
    <row r="2" spans="1:16" s="10" customFormat="1" x14ac:dyDescent="0.25">
      <c r="A2" s="3"/>
      <c r="B2" s="7" t="s">
        <v>7</v>
      </c>
      <c r="C2" s="7" t="s">
        <v>7</v>
      </c>
      <c r="D2" s="7" t="s">
        <v>7</v>
      </c>
      <c r="E2" s="14" t="s">
        <v>7</v>
      </c>
      <c r="F2" s="8" t="s">
        <v>7</v>
      </c>
      <c r="G2" s="8" t="s">
        <v>7</v>
      </c>
      <c r="H2" s="24" t="s">
        <v>7</v>
      </c>
      <c r="I2" s="24" t="s">
        <v>7</v>
      </c>
      <c r="J2" s="14" t="s">
        <v>7</v>
      </c>
      <c r="K2" s="24" t="s">
        <v>7</v>
      </c>
      <c r="L2" s="1"/>
      <c r="M2" s="2" t="str">
        <f>"-- =========================================================="</f>
        <v>-- ==========================================================</v>
      </c>
      <c r="O2" s="6"/>
      <c r="P2" s="1"/>
    </row>
    <row r="3" spans="1:16" s="10" customFormat="1" ht="12" x14ac:dyDescent="0.25">
      <c r="A3" s="19"/>
      <c r="B3" s="20">
        <v>0</v>
      </c>
      <c r="C3" s="20">
        <v>0</v>
      </c>
      <c r="D3" s="20">
        <v>0</v>
      </c>
      <c r="E3" s="27">
        <v>59</v>
      </c>
      <c r="F3" s="21" t="s">
        <v>910</v>
      </c>
      <c r="G3" s="21" t="s">
        <v>947</v>
      </c>
      <c r="H3" s="25"/>
      <c r="I3" s="25" t="s">
        <v>570</v>
      </c>
      <c r="J3" s="25" t="s">
        <v>570</v>
      </c>
      <c r="K3" s="32" t="s">
        <v>570</v>
      </c>
      <c r="M3" s="23" t="str">
        <f>CONCATENATE(CONTACT!$P$1,E3,", '",F3,"', '",G3,"' , '",H3,"' , '",I3,"' , '",J3,"', '",K3,"'")</f>
        <v>EXECUTE [dbo].[PG_CI_CUSTOMER] 0, 0, 0, 59, 'MAURICIO ESPINOSA', '18773348706' , '' , '' , '', ''</v>
      </c>
      <c r="N3" s="11"/>
    </row>
    <row r="4" spans="1:16" s="10" customFormat="1" ht="12" x14ac:dyDescent="0.25">
      <c r="A4" s="19"/>
      <c r="B4" s="20">
        <v>0</v>
      </c>
      <c r="C4" s="20">
        <v>0</v>
      </c>
      <c r="D4" s="20">
        <v>0</v>
      </c>
      <c r="E4" s="27">
        <v>46</v>
      </c>
      <c r="F4" s="21"/>
      <c r="G4" s="21" t="s">
        <v>570</v>
      </c>
      <c r="H4" s="25"/>
      <c r="I4" s="25" t="s">
        <v>952</v>
      </c>
      <c r="J4" s="25" t="s">
        <v>570</v>
      </c>
      <c r="K4" s="32" t="s">
        <v>570</v>
      </c>
      <c r="M4" s="23" t="str">
        <f>CONCATENATE(CONTACT!$P$1,E4,", '",F4,"', '",G4,"' , '",H4,"' , '",I4,"' , '",J4,"', '",K4,"'")</f>
        <v>EXECUTE [dbo].[PG_CI_CUSTOMER] 0, 0, 0, 46, '', '' , '' , 'bkamali@kamaligroup.com' , '', ''</v>
      </c>
      <c r="N4" s="11"/>
    </row>
    <row r="5" spans="1:16" s="10" customFormat="1" ht="12" x14ac:dyDescent="0.25">
      <c r="A5" s="19"/>
      <c r="B5" s="20">
        <v>0</v>
      </c>
      <c r="C5" s="20">
        <v>0</v>
      </c>
      <c r="D5" s="20">
        <v>0</v>
      </c>
      <c r="E5" s="27">
        <v>49</v>
      </c>
      <c r="F5" s="21" t="s">
        <v>911</v>
      </c>
      <c r="G5" s="21" t="s">
        <v>883</v>
      </c>
      <c r="H5" s="25"/>
      <c r="I5" s="25" t="s">
        <v>570</v>
      </c>
      <c r="J5" s="25" t="s">
        <v>570</v>
      </c>
      <c r="K5" s="32" t="s">
        <v>570</v>
      </c>
      <c r="M5" s="23" t="str">
        <f>CONCATENATE(CONTACT!$P$1,E5,", '",F5,"', '",G5,"' , '",H5,"' , '",I5,"' , '",J5,"', '",K5,"'")</f>
        <v>EXECUTE [dbo].[PG_CI_CUSTOMER] 0, 0, 0, 49, 'RUTH KAMALI', '5166274000' , '' , '' , '', ''</v>
      </c>
      <c r="N5" s="11"/>
    </row>
    <row r="6" spans="1:16" s="10" customFormat="1" ht="12" x14ac:dyDescent="0.25">
      <c r="A6" s="19"/>
      <c r="B6" s="20">
        <v>0</v>
      </c>
      <c r="C6" s="20">
        <v>0</v>
      </c>
      <c r="D6" s="20">
        <v>0</v>
      </c>
      <c r="E6" s="27">
        <v>29</v>
      </c>
      <c r="F6" s="21"/>
      <c r="G6" s="21" t="s">
        <v>884</v>
      </c>
      <c r="H6" s="25"/>
      <c r="I6" s="25" t="s">
        <v>570</v>
      </c>
      <c r="J6" s="25" t="s">
        <v>909</v>
      </c>
      <c r="K6" s="32" t="s">
        <v>570</v>
      </c>
      <c r="M6" s="23" t="str">
        <f>CONCATENATE(CONTACT!$P$1,E6,", '",F6,"', '",G6,"' , '",H6,"' , '",I6,"' , '",J6,"', '",K6,"'")</f>
        <v>EXECUTE [dbo].[PG_CI_CUSTOMER] 0, 0, 0, 29, '', '5197333713' , '' , '' , '5197335887', ''</v>
      </c>
      <c r="N6" s="11"/>
    </row>
    <row r="7" spans="1:16" s="10" customFormat="1" ht="12" x14ac:dyDescent="0.25">
      <c r="A7" s="19"/>
      <c r="B7" s="20">
        <v>0</v>
      </c>
      <c r="C7" s="20">
        <v>0</v>
      </c>
      <c r="D7" s="20">
        <v>0</v>
      </c>
      <c r="E7" s="27">
        <v>33</v>
      </c>
      <c r="F7" s="21"/>
      <c r="G7" s="21" t="s">
        <v>570</v>
      </c>
      <c r="H7" s="25"/>
      <c r="I7" s="25" t="s">
        <v>570</v>
      </c>
      <c r="J7" s="25" t="s">
        <v>570</v>
      </c>
      <c r="K7" s="32" t="s">
        <v>570</v>
      </c>
      <c r="M7" s="23" t="str">
        <f>CONCATENATE(CONTACT!$P$1,E7,", '",F7,"', '",G7,"' , '",H7,"' , '",I7,"' , '",J7,"', '",K7,"'")</f>
        <v>EXECUTE [dbo].[PG_CI_CUSTOMER] 0, 0, 0, 33, '', '' , '' , '' , '', ''</v>
      </c>
      <c r="N7" s="11"/>
    </row>
    <row r="8" spans="1:16" s="10" customFormat="1" ht="12" x14ac:dyDescent="0.25">
      <c r="A8" s="19"/>
      <c r="B8" s="20">
        <v>0</v>
      </c>
      <c r="C8" s="20">
        <v>0</v>
      </c>
      <c r="D8" s="20">
        <v>0</v>
      </c>
      <c r="E8" s="27">
        <v>42</v>
      </c>
      <c r="F8" s="21" t="s">
        <v>912</v>
      </c>
      <c r="G8" s="21" t="s">
        <v>885</v>
      </c>
      <c r="H8" s="25"/>
      <c r="I8" s="25" t="s">
        <v>570</v>
      </c>
      <c r="J8" s="25" t="s">
        <v>570</v>
      </c>
      <c r="K8" s="32" t="s">
        <v>570</v>
      </c>
      <c r="M8" s="23" t="str">
        <f>CONCATENATE(CONTACT!$P$1,E8,", '",F8,"', '",G8,"' , '",H8,"' , '",I8,"' , '",J8,"', '",K8,"'")</f>
        <v>EXECUTE [dbo].[PG_CI_CUSTOMER] 0, 0, 0, 42, 'ROGELIO CORRAL', '6563827522' , '' , '' , '', ''</v>
      </c>
      <c r="N8" s="11"/>
    </row>
    <row r="9" spans="1:16" s="10" customFormat="1" ht="12" x14ac:dyDescent="0.25">
      <c r="A9" s="19"/>
      <c r="B9" s="20">
        <v>0</v>
      </c>
      <c r="C9" s="20">
        <v>0</v>
      </c>
      <c r="D9" s="20">
        <v>0</v>
      </c>
      <c r="E9" s="27">
        <v>1</v>
      </c>
      <c r="F9" s="21" t="s">
        <v>913</v>
      </c>
      <c r="G9" s="21" t="s">
        <v>886</v>
      </c>
      <c r="H9" s="25"/>
      <c r="I9" s="25" t="s">
        <v>570</v>
      </c>
      <c r="J9" s="25" t="s">
        <v>956</v>
      </c>
      <c r="K9" s="32" t="s">
        <v>570</v>
      </c>
      <c r="M9" s="23" t="str">
        <f>CONCATENATE(CONTACT!$P$1,E9,", '",F9,"', '",G9,"' , '",H9,"' , '",I9,"' , '",J9,"', '",K9,"'")</f>
        <v>EXECUTE [dbo].[PG_CI_CUSTOMER] 0, 0, 0, 1, 'NIKKI OSTERLAND', '2485857700' , '' , '' , '2485855800', ''</v>
      </c>
      <c r="N9" s="11"/>
    </row>
    <row r="10" spans="1:16" s="10" customFormat="1" ht="12" x14ac:dyDescent="0.25">
      <c r="A10" s="19"/>
      <c r="B10" s="20">
        <v>0</v>
      </c>
      <c r="C10" s="20">
        <v>0</v>
      </c>
      <c r="D10" s="20">
        <v>0</v>
      </c>
      <c r="E10" s="27">
        <v>56</v>
      </c>
      <c r="F10" s="21"/>
      <c r="G10" s="21" t="s">
        <v>570</v>
      </c>
      <c r="H10" s="25"/>
      <c r="I10" s="25" t="s">
        <v>953</v>
      </c>
      <c r="J10" s="25" t="s">
        <v>570</v>
      </c>
      <c r="K10" s="32" t="s">
        <v>570</v>
      </c>
      <c r="M10" s="23" t="str">
        <f>CONCATENATE(CONTACT!$P$1,E10,", '",F10,"', '",G10,"' , '",H10,"' , '",I10,"' , '",J10,"', '",K10,"'")</f>
        <v>EXECUTE [dbo].[PG_CI_CUSTOMER] 0, 0, 0, 56, '', '' , '' , 'Office@daimayus.com' , '', ''</v>
      </c>
      <c r="N10" s="11"/>
    </row>
    <row r="11" spans="1:16" s="10" customFormat="1" ht="12" x14ac:dyDescent="0.25">
      <c r="A11" s="19"/>
      <c r="B11" s="20">
        <v>0</v>
      </c>
      <c r="C11" s="20">
        <v>0</v>
      </c>
      <c r="D11" s="20">
        <v>0</v>
      </c>
      <c r="E11" s="27">
        <v>2</v>
      </c>
      <c r="F11" s="21"/>
      <c r="G11" s="21" t="s">
        <v>887</v>
      </c>
      <c r="H11" s="25"/>
      <c r="I11" s="25" t="s">
        <v>570</v>
      </c>
      <c r="J11" s="25" t="s">
        <v>957</v>
      </c>
      <c r="K11" s="32" t="s">
        <v>570</v>
      </c>
      <c r="M11" s="23" t="str">
        <f>CONCATENATE(CONTACT!$P$1,E11,", '",F11,"', '",G11,"' , '",H11,"' , '",I11,"' , '",J11,"', '",K11,"'")</f>
        <v>EXECUTE [dbo].[PG_CI_CUSTOMER] 0, 0, 0, 2, '', '9783565701' , '' , '' , '9783569832', ''</v>
      </c>
      <c r="N11" s="11"/>
    </row>
    <row r="12" spans="1:16" s="10" customFormat="1" ht="12" x14ac:dyDescent="0.25">
      <c r="A12" s="19"/>
      <c r="B12" s="20">
        <v>0</v>
      </c>
      <c r="C12" s="20">
        <v>0</v>
      </c>
      <c r="D12" s="20">
        <v>0</v>
      </c>
      <c r="E12" s="27">
        <v>57</v>
      </c>
      <c r="F12" s="21"/>
      <c r="G12" s="21" t="s">
        <v>570</v>
      </c>
      <c r="H12" s="25"/>
      <c r="I12" s="25" t="s">
        <v>570</v>
      </c>
      <c r="J12" s="25" t="s">
        <v>570</v>
      </c>
      <c r="K12" s="32" t="s">
        <v>570</v>
      </c>
      <c r="M12" s="23" t="str">
        <f>CONCATENATE(CONTACT!$P$1,E12,", '",F12,"', '",G12,"' , '",H12,"' , '",I12,"' , '",J12,"', '",K12,"'")</f>
        <v>EXECUTE [dbo].[PG_CI_CUSTOMER] 0, 0, 0, 57, '', '' , '' , '' , '', ''</v>
      </c>
      <c r="N12" s="11"/>
    </row>
    <row r="13" spans="1:16" s="10" customFormat="1" ht="12" x14ac:dyDescent="0.25">
      <c r="A13" s="19"/>
      <c r="B13" s="20">
        <v>0</v>
      </c>
      <c r="C13" s="20">
        <v>0</v>
      </c>
      <c r="D13" s="20">
        <v>0</v>
      </c>
      <c r="E13" s="27">
        <v>3</v>
      </c>
      <c r="F13" s="21" t="s">
        <v>914</v>
      </c>
      <c r="G13" s="21" t="s">
        <v>570</v>
      </c>
      <c r="H13" s="25"/>
      <c r="I13" s="25" t="s">
        <v>570</v>
      </c>
      <c r="J13" s="25" t="s">
        <v>570</v>
      </c>
      <c r="K13" s="32" t="s">
        <v>570</v>
      </c>
      <c r="M13" s="23" t="str">
        <f>CONCATENATE(CONTACT!$P$1,E13,", '",F13,"', '",G13,"' , '",H13,"' , '",I13,"' , '",J13,"', '",K13,"'")</f>
        <v>EXECUTE [dbo].[PG_CI_CUSTOMER] 0, 0, 0, 3, 'LUIS ENRIQUE HERNANDEZ', '' , '' , '' , '', ''</v>
      </c>
      <c r="N13" s="11"/>
    </row>
    <row r="14" spans="1:16" s="10" customFormat="1" ht="12" x14ac:dyDescent="0.25">
      <c r="A14" s="19"/>
      <c r="B14" s="20">
        <v>0</v>
      </c>
      <c r="C14" s="20">
        <v>0</v>
      </c>
      <c r="D14" s="20">
        <v>0</v>
      </c>
      <c r="E14" s="27">
        <v>51</v>
      </c>
      <c r="F14" s="21" t="s">
        <v>915</v>
      </c>
      <c r="G14" s="21" t="s">
        <v>570</v>
      </c>
      <c r="H14" s="25"/>
      <c r="I14" s="25" t="s">
        <v>570</v>
      </c>
      <c r="J14" s="25" t="s">
        <v>570</v>
      </c>
      <c r="K14" s="32" t="s">
        <v>570</v>
      </c>
      <c r="M14" s="23" t="str">
        <f>CONCATENATE(CONTACT!$P$1,E14,", '",F14,"', '",G14,"' , '",H14,"' , '",I14,"' , '",J14,"', '",K14,"'")</f>
        <v>EXECUTE [dbo].[PG_CI_CUSTOMER] 0, 0, 0, 51, 'ACCOUNTS PAYABLE', '' , '' , '' , '', ''</v>
      </c>
      <c r="N14" s="11"/>
    </row>
    <row r="15" spans="1:16" s="10" customFormat="1" ht="12" x14ac:dyDescent="0.25">
      <c r="A15" s="19"/>
      <c r="B15" s="20">
        <v>0</v>
      </c>
      <c r="C15" s="20">
        <v>0</v>
      </c>
      <c r="D15" s="20">
        <v>0</v>
      </c>
      <c r="E15" s="27">
        <v>4</v>
      </c>
      <c r="F15" s="21"/>
      <c r="G15" s="21" t="s">
        <v>888</v>
      </c>
      <c r="H15" s="25"/>
      <c r="I15" s="25" t="s">
        <v>570</v>
      </c>
      <c r="J15" s="25" t="s">
        <v>958</v>
      </c>
      <c r="K15" s="32" t="s">
        <v>570</v>
      </c>
      <c r="M15" s="23" t="str">
        <f>CONCATENATE(CONTACT!$P$1,E15,", '",F15,"', '",G15,"' , '",H15,"' , '",I15,"' , '",J15,"', '",K15,"'")</f>
        <v>EXECUTE [dbo].[PG_CI_CUSTOMER] 0, 0, 0, 4, '', '4194245429' , '' , '' , '4194223164', ''</v>
      </c>
      <c r="N15" s="11"/>
    </row>
    <row r="16" spans="1:16" s="10" customFormat="1" ht="12" x14ac:dyDescent="0.25">
      <c r="A16" s="19"/>
      <c r="B16" s="20">
        <v>0</v>
      </c>
      <c r="C16" s="20">
        <v>0</v>
      </c>
      <c r="D16" s="20">
        <v>0</v>
      </c>
      <c r="E16" s="27">
        <v>5</v>
      </c>
      <c r="F16" s="21" t="s">
        <v>916</v>
      </c>
      <c r="G16" s="21" t="s">
        <v>889</v>
      </c>
      <c r="H16" s="25"/>
      <c r="I16" s="25" t="s">
        <v>570</v>
      </c>
      <c r="J16" s="25" t="s">
        <v>959</v>
      </c>
      <c r="K16" s="32" t="s">
        <v>570</v>
      </c>
      <c r="M16" s="23" t="str">
        <f>CONCATENATE(CONTACT!$P$1,E16,", '",F16,"', '",G16,"' , '",H16,"' , '",I16,"' , '",J16,"', '",K16,"'")</f>
        <v>EXECUTE [dbo].[PG_CI_CUSTOMER] 0, 0, 0, 5, 'WILLIS I SIMMONS', '9416766081' , '' , '' , '9416766463', ''</v>
      </c>
      <c r="N16" s="11"/>
    </row>
    <row r="17" spans="1:14" s="10" customFormat="1" ht="12" x14ac:dyDescent="0.25">
      <c r="A17" s="19"/>
      <c r="B17" s="20">
        <v>0</v>
      </c>
      <c r="C17" s="20">
        <v>0</v>
      </c>
      <c r="D17" s="20">
        <v>0</v>
      </c>
      <c r="E17" s="27">
        <v>6</v>
      </c>
      <c r="F17" s="21" t="s">
        <v>917</v>
      </c>
      <c r="G17" s="21" t="s">
        <v>570</v>
      </c>
      <c r="H17" s="25"/>
      <c r="I17" s="25" t="s">
        <v>570</v>
      </c>
      <c r="J17" s="25" t="s">
        <v>570</v>
      </c>
      <c r="K17" s="32" t="s">
        <v>570</v>
      </c>
      <c r="M17" s="23" t="str">
        <f>CONCATENATE(CONTACT!$P$1,E17,", '",F17,"', '",G17,"' , '",H17,"' , '",I17,"' , '",J17,"', '",K17,"'")</f>
        <v>EXECUTE [dbo].[PG_CI_CUSTOMER] 0, 0, 0, 6, 'ROSA BOURDEAU', '' , '' , '' , '', ''</v>
      </c>
      <c r="N17" s="11"/>
    </row>
    <row r="18" spans="1:14" s="10" customFormat="1" ht="12" x14ac:dyDescent="0.25">
      <c r="A18" s="19"/>
      <c r="B18" s="20">
        <v>0</v>
      </c>
      <c r="C18" s="20">
        <v>0</v>
      </c>
      <c r="D18" s="20">
        <v>0</v>
      </c>
      <c r="E18" s="27">
        <v>40</v>
      </c>
      <c r="F18" s="21" t="s">
        <v>918</v>
      </c>
      <c r="G18" s="21" t="s">
        <v>890</v>
      </c>
      <c r="H18" s="25">
        <v>3654</v>
      </c>
      <c r="I18" s="25"/>
      <c r="J18" s="25" t="s">
        <v>960</v>
      </c>
      <c r="K18" s="32" t="s">
        <v>570</v>
      </c>
      <c r="M18" s="23" t="str">
        <f>CONCATENATE(CONTACT!$P$1,E18,", '",F18,"', '",G18,"' , '",H18,"' , '",I18,"' , '",J18,"', '",K18,"'")</f>
        <v>EXECUTE [dbo].[PG_CI_CUSTOMER] 0, 0, 0, 40, 'CLEMENCIA VIVEROS', '522414184600' , '3654' , '' , '522414127291', ''</v>
      </c>
      <c r="N18" s="11"/>
    </row>
    <row r="19" spans="1:14" s="10" customFormat="1" ht="12" x14ac:dyDescent="0.25">
      <c r="A19" s="19"/>
      <c r="B19" s="20">
        <v>0</v>
      </c>
      <c r="C19" s="20">
        <v>0</v>
      </c>
      <c r="D19" s="20">
        <v>0</v>
      </c>
      <c r="E19" s="27">
        <v>54</v>
      </c>
      <c r="F19" s="21"/>
      <c r="G19" s="21" t="s">
        <v>570</v>
      </c>
      <c r="H19" s="25"/>
      <c r="I19" s="25" t="s">
        <v>570</v>
      </c>
      <c r="J19" s="25" t="s">
        <v>570</v>
      </c>
      <c r="K19" s="32" t="s">
        <v>570</v>
      </c>
      <c r="M19" s="23" t="str">
        <f>CONCATENATE(CONTACT!$P$1,E19,", '",F19,"', '",G19,"' , '",H19,"' , '",I19,"' , '",J19,"', '",K19,"'")</f>
        <v>EXECUTE [dbo].[PG_CI_CUSTOMER] 0, 0, 0, 54, '', '' , '' , '' , '', ''</v>
      </c>
      <c r="N19" s="11"/>
    </row>
    <row r="20" spans="1:14" s="10" customFormat="1" ht="12" x14ac:dyDescent="0.25">
      <c r="A20" s="19"/>
      <c r="B20" s="20">
        <v>0</v>
      </c>
      <c r="C20" s="20">
        <v>0</v>
      </c>
      <c r="D20" s="20">
        <v>0</v>
      </c>
      <c r="E20" s="27">
        <v>7</v>
      </c>
      <c r="F20" s="21" t="s">
        <v>919</v>
      </c>
      <c r="G20" s="21" t="s">
        <v>891</v>
      </c>
      <c r="H20" s="25"/>
      <c r="I20" s="25" t="s">
        <v>570</v>
      </c>
      <c r="J20" s="25" t="s">
        <v>570</v>
      </c>
      <c r="K20" s="32" t="s">
        <v>570</v>
      </c>
      <c r="M20" s="23" t="str">
        <f>CONCATENATE(CONTACT!$P$1,E20,", '",F20,"', '",G20,"' , '",H20,"' , '",I20,"' , '",J20,"', '",K20,"'")</f>
        <v>EXECUTE [dbo].[PG_CI_CUSTOMER] 0, 0, 0, 7, 'MARIA CLABORN', '12484514216' , '' , '' , '', ''</v>
      </c>
      <c r="N20" s="11"/>
    </row>
    <row r="21" spans="1:14" s="10" customFormat="1" ht="12" x14ac:dyDescent="0.25">
      <c r="A21" s="19"/>
      <c r="B21" s="20">
        <v>0</v>
      </c>
      <c r="C21" s="20">
        <v>0</v>
      </c>
      <c r="D21" s="20">
        <v>0</v>
      </c>
      <c r="E21" s="27">
        <v>34</v>
      </c>
      <c r="F21" s="21" t="s">
        <v>920</v>
      </c>
      <c r="G21" s="21" t="s">
        <v>892</v>
      </c>
      <c r="H21" s="25"/>
      <c r="I21" s="25" t="s">
        <v>570</v>
      </c>
      <c r="J21" s="25" t="s">
        <v>961</v>
      </c>
      <c r="K21" s="32" t="s">
        <v>570</v>
      </c>
      <c r="M21" s="23" t="str">
        <f>CONCATENATE(CONTACT!$P$1,E21,", '",F21,"', '",G21,"' , '",H21,"' , '",I21,"' , '",J21,"', '",K21,"'")</f>
        <v>EXECUTE [dbo].[PG_CI_CUSTOMER] 0, 0, 0, 34, 'LISA BETH RUMPL', '2484514276' , '' , '' , '2484514230', ''</v>
      </c>
      <c r="N21" s="11"/>
    </row>
    <row r="22" spans="1:14" s="10" customFormat="1" ht="12" x14ac:dyDescent="0.25">
      <c r="A22" s="19"/>
      <c r="B22" s="20">
        <v>0</v>
      </c>
      <c r="C22" s="20">
        <v>0</v>
      </c>
      <c r="D22" s="20">
        <v>0</v>
      </c>
      <c r="E22" s="27">
        <v>8</v>
      </c>
      <c r="F22" s="21"/>
      <c r="G22" s="21" t="s">
        <v>893</v>
      </c>
      <c r="H22" s="25"/>
      <c r="I22" s="25" t="s">
        <v>570</v>
      </c>
      <c r="J22" s="25" t="s">
        <v>962</v>
      </c>
      <c r="K22" s="32" t="s">
        <v>570</v>
      </c>
      <c r="M22" s="23" t="str">
        <f>CONCATENATE(CONTACT!$P$1,E22,", '",F22,"', '",G22,"' , '",H22,"' , '",I22,"' , '",J22,"', '",K22,"'")</f>
        <v>EXECUTE [dbo].[PG_CI_CUSTOMER] 0, 0, 0, 8, '', '5252847224' , '' , '' , '5252847231', ''</v>
      </c>
      <c r="N22" s="11"/>
    </row>
    <row r="23" spans="1:14" s="10" customFormat="1" ht="12" x14ac:dyDescent="0.25">
      <c r="A23" s="19"/>
      <c r="B23" s="20">
        <v>0</v>
      </c>
      <c r="C23" s="20">
        <v>0</v>
      </c>
      <c r="D23" s="20">
        <v>0</v>
      </c>
      <c r="E23" s="27">
        <v>32</v>
      </c>
      <c r="F23" s="21" t="s">
        <v>921</v>
      </c>
      <c r="G23" s="21" t="s">
        <v>894</v>
      </c>
      <c r="H23" s="25"/>
      <c r="I23" s="25" t="s">
        <v>570</v>
      </c>
      <c r="J23" s="25" t="s">
        <v>963</v>
      </c>
      <c r="K23" s="32" t="s">
        <v>570</v>
      </c>
      <c r="M23" s="23" t="str">
        <f>CONCATENATE(CONTACT!$P$1,E23,", '",F23,"', '",G23,"' , '",H23,"' , '",I23,"' , '",J23,"', '",K23,"'")</f>
        <v>EXECUTE [dbo].[PG_CI_CUSTOMER] 0, 0, 0, 32, 'RICARDO PEREZ', '015552847154' , '' , '' , '015552847210', ''</v>
      </c>
      <c r="N23" s="11"/>
    </row>
    <row r="24" spans="1:14" s="10" customFormat="1" ht="12" x14ac:dyDescent="0.25">
      <c r="A24" s="19"/>
      <c r="B24" s="20">
        <v>0</v>
      </c>
      <c r="C24" s="20">
        <v>0</v>
      </c>
      <c r="D24" s="20">
        <v>0</v>
      </c>
      <c r="E24" s="27">
        <v>9</v>
      </c>
      <c r="F24" s="21"/>
      <c r="G24" s="21" t="s">
        <v>570</v>
      </c>
      <c r="H24" s="25"/>
      <c r="I24" s="25" t="s">
        <v>570</v>
      </c>
      <c r="J24" s="25" t="s">
        <v>570</v>
      </c>
      <c r="K24" s="32" t="s">
        <v>570</v>
      </c>
      <c r="M24" s="23" t="str">
        <f>CONCATENATE(CONTACT!$P$1,E24,", '",F24,"', '",G24,"' , '",H24,"' , '",I24,"' , '",J24,"', '",K24,"'")</f>
        <v>EXECUTE [dbo].[PG_CI_CUSTOMER] 0, 0, 0, 9, '', '' , '' , '' , '', ''</v>
      </c>
      <c r="N24" s="11"/>
    </row>
    <row r="25" spans="1:14" s="10" customFormat="1" ht="12" x14ac:dyDescent="0.25">
      <c r="A25" s="19"/>
      <c r="B25" s="20">
        <v>0</v>
      </c>
      <c r="C25" s="20">
        <v>0</v>
      </c>
      <c r="D25" s="20">
        <v>0</v>
      </c>
      <c r="E25" s="27">
        <v>37</v>
      </c>
      <c r="F25" s="21" t="s">
        <v>922</v>
      </c>
      <c r="G25" s="21" t="s">
        <v>570</v>
      </c>
      <c r="H25" s="25"/>
      <c r="I25" s="25" t="s">
        <v>570</v>
      </c>
      <c r="J25" s="25" t="s">
        <v>570</v>
      </c>
      <c r="K25" s="32" t="s">
        <v>570</v>
      </c>
      <c r="M25" s="23" t="str">
        <f>CONCATENATE(CONTACT!$P$1,E25,", '",F25,"', '",G25,"' , '",H25,"' , '",I25,"' , '",J25,"', '",K25,"'")</f>
        <v>EXECUTE [dbo].[PG_CI_CUSTOMER] 0, 0, 0, 37, 'BETHANY SCOTT', '' , '' , '' , '', ''</v>
      </c>
      <c r="N25" s="11"/>
    </row>
    <row r="26" spans="1:14" s="10" customFormat="1" ht="12" x14ac:dyDescent="0.25">
      <c r="A26" s="19"/>
      <c r="B26" s="20">
        <v>0</v>
      </c>
      <c r="C26" s="20">
        <v>0</v>
      </c>
      <c r="D26" s="20">
        <v>0</v>
      </c>
      <c r="E26" s="27">
        <v>38</v>
      </c>
      <c r="F26" s="21" t="s">
        <v>923</v>
      </c>
      <c r="G26" s="21" t="s">
        <v>570</v>
      </c>
      <c r="H26" s="25"/>
      <c r="I26" s="25" t="s">
        <v>570</v>
      </c>
      <c r="J26" s="25" t="s">
        <v>570</v>
      </c>
      <c r="K26" s="32" t="s">
        <v>570</v>
      </c>
      <c r="M26" s="23" t="str">
        <f>CONCATENATE(CONTACT!$P$1,E26,", '",F26,"', '",G26,"' , '",H26,"' , '",I26,"' , '",J26,"', '",K26,"'")</f>
        <v>EXECUTE [dbo].[PG_CI_CUSTOMER] 0, 0, 0, 38, 'MIKE CHOPSON', '' , '' , '' , '', ''</v>
      </c>
      <c r="N26" s="11"/>
    </row>
    <row r="27" spans="1:14" s="10" customFormat="1" ht="12" x14ac:dyDescent="0.25">
      <c r="A27" s="19"/>
      <c r="B27" s="20">
        <v>0</v>
      </c>
      <c r="C27" s="20">
        <v>0</v>
      </c>
      <c r="D27" s="20">
        <v>0</v>
      </c>
      <c r="E27" s="27">
        <v>48</v>
      </c>
      <c r="F27" s="21" t="s">
        <v>911</v>
      </c>
      <c r="G27" s="21" t="s">
        <v>570</v>
      </c>
      <c r="H27" s="25"/>
      <c r="I27" s="25" t="s">
        <v>570</v>
      </c>
      <c r="J27" s="25" t="s">
        <v>570</v>
      </c>
      <c r="K27" s="32" t="s">
        <v>570</v>
      </c>
      <c r="M27" s="23" t="str">
        <f>CONCATENATE(CONTACT!$P$1,E27,", '",F27,"', '",G27,"' , '",H27,"' , '",I27,"' , '",J27,"', '",K27,"'")</f>
        <v>EXECUTE [dbo].[PG_CI_CUSTOMER] 0, 0, 0, 48, 'RUTH KAMALI', '' , '' , '' , '', ''</v>
      </c>
      <c r="N27" s="11"/>
    </row>
    <row r="28" spans="1:14" s="10" customFormat="1" ht="12" x14ac:dyDescent="0.25">
      <c r="A28" s="19"/>
      <c r="B28" s="20">
        <v>0</v>
      </c>
      <c r="C28" s="20">
        <v>0</v>
      </c>
      <c r="D28" s="20">
        <v>0</v>
      </c>
      <c r="E28" s="27">
        <v>39</v>
      </c>
      <c r="F28" s="21" t="s">
        <v>924</v>
      </c>
      <c r="G28" s="21" t="s">
        <v>948</v>
      </c>
      <c r="H28" s="25"/>
      <c r="I28" s="25" t="s">
        <v>570</v>
      </c>
      <c r="J28" s="25" t="s">
        <v>964</v>
      </c>
      <c r="K28" s="32" t="s">
        <v>570</v>
      </c>
      <c r="M28" s="23" t="str">
        <f>CONCATENATE(CONTACT!$P$1,E28,", '",F28,"', '",G28,"' , '",H28,"' , '",I28,"' , '",J28,"', '",K28,"'")</f>
        <v>EXECUTE [dbo].[PG_CI_CUSTOMER] 0, 0, 0, 39, 'DAVE SCHUTTER', '12486153090' , '' , '' , '12486153098', ''</v>
      </c>
      <c r="N28" s="11"/>
    </row>
    <row r="29" spans="1:14" s="10" customFormat="1" ht="12" x14ac:dyDescent="0.25">
      <c r="A29" s="19"/>
      <c r="B29" s="20">
        <v>0</v>
      </c>
      <c r="C29" s="20">
        <v>0</v>
      </c>
      <c r="D29" s="20">
        <v>0</v>
      </c>
      <c r="E29" s="27">
        <v>10</v>
      </c>
      <c r="F29" s="21" t="s">
        <v>925</v>
      </c>
      <c r="G29" s="21" t="s">
        <v>895</v>
      </c>
      <c r="H29" s="25"/>
      <c r="I29" s="25" t="s">
        <v>570</v>
      </c>
      <c r="J29" s="25" t="s">
        <v>965</v>
      </c>
      <c r="K29" s="32" t="s">
        <v>570</v>
      </c>
      <c r="M29" s="23" t="str">
        <f>CONCATENATE(CONTACT!$P$1,E29,", '",F29,"', '",G29,"' , '",H29,"' , '",I29,"' , '",J29,"', '",K29,"'")</f>
        <v>EXECUTE [dbo].[PG_CI_CUSTOMER] 0, 0, 0, 10, 'STEVE KRAFT', '5175457500' , '' , '' , '5175458199', ''</v>
      </c>
      <c r="N29" s="11"/>
    </row>
    <row r="30" spans="1:14" s="10" customFormat="1" ht="12" x14ac:dyDescent="0.25">
      <c r="A30" s="19"/>
      <c r="B30" s="20">
        <v>0</v>
      </c>
      <c r="C30" s="20">
        <v>0</v>
      </c>
      <c r="D30" s="20">
        <v>0</v>
      </c>
      <c r="E30" s="27">
        <v>11</v>
      </c>
      <c r="F30" s="21"/>
      <c r="G30" s="21" t="s">
        <v>896</v>
      </c>
      <c r="H30" s="25"/>
      <c r="I30" s="25" t="s">
        <v>570</v>
      </c>
      <c r="J30" s="25" t="s">
        <v>966</v>
      </c>
      <c r="K30" s="32" t="s">
        <v>570</v>
      </c>
      <c r="M30" s="23" t="str">
        <f>CONCATENATE(CONTACT!$P$1,E30,", '",F30,"', '",G30,"' , '",H30,"' , '",I30,"' , '",J30,"', '",K30,"'")</f>
        <v>EXECUTE [dbo].[PG_CI_CUSTOMER] 0, 0, 0, 11, '', '9154994545' , '' , '' , '9158495610', ''</v>
      </c>
      <c r="N30" s="11"/>
    </row>
    <row r="31" spans="1:14" s="10" customFormat="1" ht="12" x14ac:dyDescent="0.25">
      <c r="A31" s="19"/>
      <c r="B31" s="20">
        <v>0</v>
      </c>
      <c r="C31" s="20">
        <v>0</v>
      </c>
      <c r="D31" s="20">
        <v>0</v>
      </c>
      <c r="E31" s="27">
        <v>30</v>
      </c>
      <c r="F31" s="21" t="s">
        <v>926</v>
      </c>
      <c r="G31" s="21" t="s">
        <v>570</v>
      </c>
      <c r="H31" s="25"/>
      <c r="I31" s="25" t="s">
        <v>570</v>
      </c>
      <c r="J31" s="25" t="s">
        <v>570</v>
      </c>
      <c r="K31" s="32" t="s">
        <v>570</v>
      </c>
      <c r="M31" s="23" t="str">
        <f>CONCATENATE(CONTACT!$P$1,E31,", '",F31,"', '",G31,"' , '",H31,"' , '",I31,"' , '",J31,"', '",K31,"'")</f>
        <v>EXECUTE [dbo].[PG_CI_CUSTOMER] 0, 0, 0, 30, 'DAVID RAMOS', '' , '' , '' , '', ''</v>
      </c>
      <c r="N31" s="11"/>
    </row>
    <row r="32" spans="1:14" s="10" customFormat="1" ht="12" x14ac:dyDescent="0.25">
      <c r="A32" s="19"/>
      <c r="B32" s="20">
        <v>0</v>
      </c>
      <c r="C32" s="20">
        <v>0</v>
      </c>
      <c r="D32" s="20">
        <v>0</v>
      </c>
      <c r="E32" s="27">
        <v>12</v>
      </c>
      <c r="F32" s="21" t="s">
        <v>927</v>
      </c>
      <c r="G32" s="21" t="s">
        <v>570</v>
      </c>
      <c r="H32" s="25"/>
      <c r="I32" s="25" t="s">
        <v>570</v>
      </c>
      <c r="J32" s="25" t="s">
        <v>570</v>
      </c>
      <c r="K32" s="32" t="s">
        <v>570</v>
      </c>
      <c r="M32" s="23" t="str">
        <f>CONCATENATE(CONTACT!$P$1,E32,", '",F32,"', '",G32,"' , '",H32,"' , '",I32,"' , '",J32,"', '",K32,"'")</f>
        <v>EXECUTE [dbo].[PG_CI_CUSTOMER] 0, 0, 0, 12, 'CATHY SADLER', '' , '' , '' , '', ''</v>
      </c>
      <c r="N32" s="11"/>
    </row>
    <row r="33" spans="1:14" s="10" customFormat="1" ht="12" x14ac:dyDescent="0.25">
      <c r="A33" s="19"/>
      <c r="B33" s="20">
        <v>0</v>
      </c>
      <c r="C33" s="20">
        <v>0</v>
      </c>
      <c r="D33" s="20">
        <v>0</v>
      </c>
      <c r="E33" s="27">
        <v>13</v>
      </c>
      <c r="F33" s="21"/>
      <c r="G33" s="21" t="s">
        <v>570</v>
      </c>
      <c r="H33" s="25"/>
      <c r="I33" s="25" t="s">
        <v>570</v>
      </c>
      <c r="J33" s="25" t="s">
        <v>570</v>
      </c>
      <c r="K33" s="32" t="s">
        <v>570</v>
      </c>
      <c r="M33" s="23" t="str">
        <f>CONCATENATE(CONTACT!$P$1,E33,", '",F33,"', '",G33,"' , '",H33,"' , '",I33,"' , '",J33,"', '",K33,"'")</f>
        <v>EXECUTE [dbo].[PG_CI_CUSTOMER] 0, 0, 0, 13, '', '' , '' , '' , '', ''</v>
      </c>
      <c r="N33" s="11"/>
    </row>
    <row r="34" spans="1:14" s="10" customFormat="1" ht="12" x14ac:dyDescent="0.25">
      <c r="A34" s="19"/>
      <c r="B34" s="20">
        <v>0</v>
      </c>
      <c r="C34" s="20">
        <v>0</v>
      </c>
      <c r="D34" s="20">
        <v>0</v>
      </c>
      <c r="E34" s="27">
        <v>14</v>
      </c>
      <c r="F34" s="21" t="s">
        <v>928</v>
      </c>
      <c r="G34" s="21" t="s">
        <v>897</v>
      </c>
      <c r="H34" s="25"/>
      <c r="I34" s="25" t="s">
        <v>570</v>
      </c>
      <c r="J34" s="25" t="s">
        <v>967</v>
      </c>
      <c r="K34" s="32" t="s">
        <v>570</v>
      </c>
      <c r="M34" s="23" t="str">
        <f>CONCATENATE(CONTACT!$P$1,E34,", '",F34,"', '",G34,"' , '",H34,"' , '",I34,"' , '",J34,"', '",K34,"'")</f>
        <v>EXECUTE [dbo].[PG_CI_CUSTOMER] 0, 0, 0, 14, 'Ms Daniela Olejnik', '13137554909' , '' , '' , '13137554898', ''</v>
      </c>
      <c r="N34" s="11"/>
    </row>
    <row r="35" spans="1:14" s="10" customFormat="1" ht="12" x14ac:dyDescent="0.25">
      <c r="A35" s="19"/>
      <c r="B35" s="20">
        <v>0</v>
      </c>
      <c r="C35" s="20">
        <v>0</v>
      </c>
      <c r="D35" s="20">
        <v>0</v>
      </c>
      <c r="E35" s="27">
        <v>15</v>
      </c>
      <c r="F35" s="21"/>
      <c r="G35" s="21" t="s">
        <v>898</v>
      </c>
      <c r="H35" s="25"/>
      <c r="I35" s="25" t="s">
        <v>570</v>
      </c>
      <c r="J35" s="25" t="s">
        <v>570</v>
      </c>
      <c r="K35" s="32" t="s">
        <v>570</v>
      </c>
      <c r="M35" s="23" t="str">
        <f>CONCATENATE(CONTACT!$P$1,E35,", '",F35,"', '",G35,"' , '",H35,"' , '",I35,"' , '",J35,"', '",K35,"'")</f>
        <v>EXECUTE [dbo].[PG_CI_CUSTOMER] 0, 0, 0, 15, '', '8105780400' , '' , '' , '', ''</v>
      </c>
      <c r="N35" s="11"/>
    </row>
    <row r="36" spans="1:14" s="10" customFormat="1" ht="12" x14ac:dyDescent="0.25">
      <c r="A36" s="19"/>
      <c r="B36" s="20">
        <v>0</v>
      </c>
      <c r="C36" s="20">
        <v>0</v>
      </c>
      <c r="D36" s="20">
        <v>0</v>
      </c>
      <c r="E36" s="27">
        <v>16</v>
      </c>
      <c r="F36" s="21" t="s">
        <v>929</v>
      </c>
      <c r="G36" s="21" t="s">
        <v>899</v>
      </c>
      <c r="H36" s="25"/>
      <c r="I36" s="25" t="s">
        <v>570</v>
      </c>
      <c r="J36" s="25" t="s">
        <v>968</v>
      </c>
      <c r="K36" s="32" t="s">
        <v>570</v>
      </c>
      <c r="M36" s="23" t="str">
        <f>CONCATENATE(CONTACT!$P$1,E36,", '",F36,"', '",G36,"' , '",H36,"' , '",I36,"' , '",J36,"', '",K36,"'")</f>
        <v>EXECUTE [dbo].[PG_CI_CUSTOMER] 0, 0, 0, 16, 'LILA MACKEY', '3135939000' , '' , '' , '3132535041', ''</v>
      </c>
      <c r="N36" s="11"/>
    </row>
    <row r="37" spans="1:14" s="10" customFormat="1" ht="12" x14ac:dyDescent="0.25">
      <c r="A37" s="19"/>
      <c r="B37" s="20">
        <v>0</v>
      </c>
      <c r="C37" s="20">
        <v>0</v>
      </c>
      <c r="D37" s="20">
        <v>0</v>
      </c>
      <c r="E37" s="27">
        <v>17</v>
      </c>
      <c r="F37" s="21" t="s">
        <v>930</v>
      </c>
      <c r="G37" s="21" t="s">
        <v>900</v>
      </c>
      <c r="H37" s="25"/>
      <c r="I37" s="25" t="s">
        <v>570</v>
      </c>
      <c r="J37" s="25" t="s">
        <v>570</v>
      </c>
      <c r="K37" s="32" t="s">
        <v>570</v>
      </c>
      <c r="M37" s="23" t="str">
        <f>CONCATENATE(CONTACT!$P$1,E37,", '",F37,"', '",G37,"' , '",H37,"' , '",I37,"' , '",J37,"', '",K37,"'")</f>
        <v>EXECUTE [dbo].[PG_CI_CUSTOMER] 0, 0, 0, 17, 'DOUG DEATON', '0115286130319' , '' , '' , '', ''</v>
      </c>
      <c r="N37" s="11"/>
    </row>
    <row r="38" spans="1:14" s="10" customFormat="1" ht="12" x14ac:dyDescent="0.25">
      <c r="A38" s="19"/>
      <c r="B38" s="20">
        <v>0</v>
      </c>
      <c r="C38" s="20">
        <v>0</v>
      </c>
      <c r="D38" s="20">
        <v>0</v>
      </c>
      <c r="E38" s="27">
        <v>18</v>
      </c>
      <c r="F38" s="21"/>
      <c r="G38" s="21" t="s">
        <v>570</v>
      </c>
      <c r="H38" s="25"/>
      <c r="I38" s="25" t="s">
        <v>570</v>
      </c>
      <c r="J38" s="25" t="s">
        <v>570</v>
      </c>
      <c r="K38" s="32" t="s">
        <v>570</v>
      </c>
      <c r="M38" s="23" t="str">
        <f>CONCATENATE(CONTACT!$P$1,E38,", '",F38,"', '",G38,"' , '",H38,"' , '",I38,"' , '",J38,"', '",K38,"'")</f>
        <v>EXECUTE [dbo].[PG_CI_CUSTOMER] 0, 0, 0, 18, '', '' , '' , '' , '', ''</v>
      </c>
      <c r="N38" s="11"/>
    </row>
    <row r="39" spans="1:14" s="10" customFormat="1" ht="12" x14ac:dyDescent="0.25">
      <c r="A39" s="19"/>
      <c r="B39" s="20">
        <v>0</v>
      </c>
      <c r="C39" s="20">
        <v>0</v>
      </c>
      <c r="D39" s="20">
        <v>0</v>
      </c>
      <c r="E39" s="27">
        <v>19</v>
      </c>
      <c r="F39" s="21" t="s">
        <v>931</v>
      </c>
      <c r="G39" s="21" t="s">
        <v>570</v>
      </c>
      <c r="H39" s="25"/>
      <c r="I39" s="25" t="s">
        <v>570</v>
      </c>
      <c r="J39" s="25" t="s">
        <v>570</v>
      </c>
      <c r="K39" s="32" t="s">
        <v>570</v>
      </c>
      <c r="M39" s="23" t="str">
        <f>CONCATENATE(CONTACT!$P$1,E39,", '",F39,"', '",G39,"' , '",H39,"' , '",I39,"' , '",J39,"', '",K39,"'")</f>
        <v>EXECUTE [dbo].[PG_CI_CUSTOMER] 0, 0, 0, 19, 'MARILY BURKE', '' , '' , '' , '', ''</v>
      </c>
      <c r="N39" s="11"/>
    </row>
    <row r="40" spans="1:14" s="10" customFormat="1" ht="12" x14ac:dyDescent="0.25">
      <c r="A40" s="19"/>
      <c r="B40" s="20">
        <v>0</v>
      </c>
      <c r="C40" s="20">
        <v>0</v>
      </c>
      <c r="D40" s="20">
        <v>0</v>
      </c>
      <c r="E40" s="27">
        <v>47</v>
      </c>
      <c r="F40" s="21"/>
      <c r="G40" s="21" t="s">
        <v>570</v>
      </c>
      <c r="H40" s="25"/>
      <c r="I40" s="25" t="s">
        <v>570</v>
      </c>
      <c r="J40" s="25" t="s">
        <v>570</v>
      </c>
      <c r="K40" s="32" t="s">
        <v>570</v>
      </c>
      <c r="M40" s="23" t="str">
        <f>CONCATENATE(CONTACT!$P$1,E40,", '",F40,"', '",G40,"' , '",H40,"' , '",I40,"' , '",J40,"', '",K40,"'")</f>
        <v>EXECUTE [dbo].[PG_CI_CUSTOMER] 0, 0, 0, 47, '', '' , '' , '' , '', ''</v>
      </c>
      <c r="N40" s="11"/>
    </row>
    <row r="41" spans="1:14" s="10" customFormat="1" ht="12" x14ac:dyDescent="0.25">
      <c r="A41" s="19"/>
      <c r="B41" s="20">
        <v>0</v>
      </c>
      <c r="C41" s="20">
        <v>0</v>
      </c>
      <c r="D41" s="20">
        <v>0</v>
      </c>
      <c r="E41" s="27">
        <v>41</v>
      </c>
      <c r="F41" s="21" t="s">
        <v>932</v>
      </c>
      <c r="G41" s="21" t="s">
        <v>901</v>
      </c>
      <c r="H41" s="25"/>
      <c r="I41" s="25" t="s">
        <v>570</v>
      </c>
      <c r="J41" s="25" t="s">
        <v>969</v>
      </c>
      <c r="K41" s="32" t="s">
        <v>570</v>
      </c>
      <c r="M41" s="23" t="str">
        <f>CONCATENATE(CONTACT!$P$1,E41,", '",F41,"', '",G41,"' , '",H41,"' , '",I41,"' , '",J41,"', '",K41,"'")</f>
        <v>EXECUTE [dbo].[PG_CI_CUSTOMER] 0, 0, 0, 41, 'LISA FIRTH', '5172236734' , '' , '' , '5172231331', ''</v>
      </c>
      <c r="N41" s="11"/>
    </row>
    <row r="42" spans="1:14" s="10" customFormat="1" ht="12" x14ac:dyDescent="0.25">
      <c r="A42" s="19"/>
      <c r="B42" s="20">
        <v>0</v>
      </c>
      <c r="C42" s="20">
        <v>0</v>
      </c>
      <c r="D42" s="20">
        <v>0</v>
      </c>
      <c r="E42" s="27">
        <v>20</v>
      </c>
      <c r="F42" s="21" t="s">
        <v>933</v>
      </c>
      <c r="G42" s="21" t="s">
        <v>570</v>
      </c>
      <c r="H42" s="25"/>
      <c r="I42" s="25" t="s">
        <v>570</v>
      </c>
      <c r="J42" s="25" t="s">
        <v>570</v>
      </c>
      <c r="K42" s="32" t="s">
        <v>570</v>
      </c>
      <c r="M42" s="23" t="str">
        <f>CONCATENATE(CONTACT!$P$1,E42,", '",F42,"', '",G42,"' , '",H42,"' , '",I42,"' , '",J42,"', '",K42,"'")</f>
        <v>EXECUTE [dbo].[PG_CI_CUSTOMER] 0, 0, 0, 20, 'VITO PALADINO', '' , '' , '' , '', ''</v>
      </c>
      <c r="N42" s="11"/>
    </row>
    <row r="43" spans="1:14" s="10" customFormat="1" ht="12" x14ac:dyDescent="0.25">
      <c r="A43" s="19"/>
      <c r="B43" s="20">
        <v>0</v>
      </c>
      <c r="C43" s="20">
        <v>0</v>
      </c>
      <c r="D43" s="20">
        <v>0</v>
      </c>
      <c r="E43" s="27">
        <v>21</v>
      </c>
      <c r="F43" s="21" t="s">
        <v>934</v>
      </c>
      <c r="G43" s="21" t="s">
        <v>570</v>
      </c>
      <c r="H43" s="25"/>
      <c r="I43" s="25" t="s">
        <v>570</v>
      </c>
      <c r="J43" s="25" t="s">
        <v>570</v>
      </c>
      <c r="K43" s="32" t="s">
        <v>570</v>
      </c>
      <c r="M43" s="23" t="str">
        <f>CONCATENATE(CONTACT!$P$1,E43,", '",F43,"', '",G43,"' , '",H43,"' , '",I43,"' , '",J43,"', '",K43,"'")</f>
        <v>EXECUTE [dbo].[PG_CI_CUSTOMER] 0, 0, 0, 21, 'MIHO NAKATANI', '' , '' , '' , '', ''</v>
      </c>
      <c r="N43" s="11"/>
    </row>
    <row r="44" spans="1:14" s="10" customFormat="1" ht="12" x14ac:dyDescent="0.25">
      <c r="A44" s="19"/>
      <c r="B44" s="20">
        <v>0</v>
      </c>
      <c r="C44" s="20">
        <v>0</v>
      </c>
      <c r="D44" s="20">
        <v>0</v>
      </c>
      <c r="E44" s="27">
        <v>22</v>
      </c>
      <c r="F44" s="21"/>
      <c r="G44" s="21" t="s">
        <v>902</v>
      </c>
      <c r="H44" s="25"/>
      <c r="I44" s="25" t="s">
        <v>570</v>
      </c>
      <c r="J44" s="25" t="s">
        <v>970</v>
      </c>
      <c r="K44" s="32" t="s">
        <v>570</v>
      </c>
      <c r="M44" s="23" t="str">
        <f>CONCATENATE(CONTACT!$P$1,E44,", '",F44,"', '",G44,"' , '",H44,"' , '",I44,"' , '",J44,"', '",K44,"'")</f>
        <v>EXECUTE [dbo].[PG_CI_CUSTOMER] 0, 0, 0, 22, '', '0755914911' , '' , '' , '0755914983', ''</v>
      </c>
      <c r="N44" s="11"/>
    </row>
    <row r="45" spans="1:14" s="10" customFormat="1" ht="12" x14ac:dyDescent="0.25">
      <c r="A45" s="19"/>
      <c r="B45" s="20">
        <v>0</v>
      </c>
      <c r="C45" s="20">
        <v>0</v>
      </c>
      <c r="D45" s="20">
        <v>0</v>
      </c>
      <c r="E45" s="27">
        <v>23</v>
      </c>
      <c r="F45" s="21"/>
      <c r="G45" s="21" t="s">
        <v>902</v>
      </c>
      <c r="H45" s="25"/>
      <c r="I45" s="25" t="s">
        <v>570</v>
      </c>
      <c r="J45" s="25" t="s">
        <v>970</v>
      </c>
      <c r="K45" s="32" t="s">
        <v>570</v>
      </c>
      <c r="M45" s="23" t="str">
        <f>CONCATENATE(CONTACT!$P$1,E45,", '",F45,"', '",G45,"' , '",H45,"' , '",I45,"' , '",J45,"', '",K45,"'")</f>
        <v>EXECUTE [dbo].[PG_CI_CUSTOMER] 0, 0, 0, 23, '', '0755914911' , '' , '' , '0755914983', ''</v>
      </c>
      <c r="N45" s="11"/>
    </row>
    <row r="46" spans="1:14" s="10" customFormat="1" ht="12" x14ac:dyDescent="0.25">
      <c r="A46" s="19"/>
      <c r="B46" s="20">
        <v>0</v>
      </c>
      <c r="C46" s="20">
        <v>0</v>
      </c>
      <c r="D46" s="20">
        <v>0</v>
      </c>
      <c r="E46" s="27">
        <v>24</v>
      </c>
      <c r="F46" s="21" t="s">
        <v>935</v>
      </c>
      <c r="G46" s="21" t="s">
        <v>903</v>
      </c>
      <c r="H46" s="25"/>
      <c r="I46" s="25" t="s">
        <v>570</v>
      </c>
      <c r="J46" s="25" t="s">
        <v>570</v>
      </c>
      <c r="K46" s="32" t="s">
        <v>570</v>
      </c>
      <c r="M46" s="23" t="str">
        <f>CONCATENATE(CONTACT!$P$1,E46,", '",F46,"', '",G46,"' , '",H46,"' , '",I46,"' , '",J46,"', '",K46,"'")</f>
        <v>EXECUTE [dbo].[PG_CI_CUSTOMER] 0, 0, 0, 24, 'PATTY O'DELL', '3139636114' , '' , '' , '', ''</v>
      </c>
      <c r="N46" s="11"/>
    </row>
    <row r="47" spans="1:14" s="10" customFormat="1" ht="12" x14ac:dyDescent="0.25">
      <c r="A47" s="19"/>
      <c r="B47" s="20">
        <v>0</v>
      </c>
      <c r="C47" s="20">
        <v>0</v>
      </c>
      <c r="D47" s="20">
        <v>0</v>
      </c>
      <c r="E47" s="27">
        <v>25</v>
      </c>
      <c r="F47" s="21" t="s">
        <v>936</v>
      </c>
      <c r="G47" s="21" t="s">
        <v>904</v>
      </c>
      <c r="H47" s="25"/>
      <c r="I47" s="25" t="s">
        <v>570</v>
      </c>
      <c r="J47" s="25" t="s">
        <v>971</v>
      </c>
      <c r="K47" s="32" t="s">
        <v>570</v>
      </c>
      <c r="M47" s="23" t="str">
        <f>CONCATENATE(CONTACT!$P$1,E47,", '",F47,"', '",G47,"' , '",H47,"' , '",I47,"' , '",J47,"', '",K47,"'")</f>
        <v>EXECUTE [dbo].[PG_CI_CUSTOMER] 0, 0, 0, 25, 'Mr. Kurt Greaser', '001113174845555' , '' , '' , '001513174845565', ''</v>
      </c>
      <c r="N47" s="11"/>
    </row>
    <row r="48" spans="1:14" s="10" customFormat="1" ht="12" x14ac:dyDescent="0.25">
      <c r="A48" s="19"/>
      <c r="B48" s="20">
        <v>0</v>
      </c>
      <c r="C48" s="20">
        <v>0</v>
      </c>
      <c r="D48" s="20">
        <v>0</v>
      </c>
      <c r="E48" s="27">
        <v>26</v>
      </c>
      <c r="F48" s="21"/>
      <c r="G48" s="21" t="s">
        <v>570</v>
      </c>
      <c r="H48" s="25"/>
      <c r="I48" s="25" t="s">
        <v>570</v>
      </c>
      <c r="J48" s="25" t="s">
        <v>570</v>
      </c>
      <c r="K48" s="32" t="s">
        <v>570</v>
      </c>
      <c r="M48" s="23" t="str">
        <f>CONCATENATE(CONTACT!$P$1,E48,", '",F48,"', '",G48,"' , '",H48,"' , '",I48,"' , '",J48,"', '",K48,"'")</f>
        <v>EXECUTE [dbo].[PG_CI_CUSTOMER] 0, 0, 0, 26, '', '' , '' , '' , '', ''</v>
      </c>
      <c r="N48" s="11"/>
    </row>
    <row r="49" spans="1:14" s="10" customFormat="1" ht="12" x14ac:dyDescent="0.25">
      <c r="A49" s="19"/>
      <c r="B49" s="20">
        <v>0</v>
      </c>
      <c r="C49" s="20">
        <v>0</v>
      </c>
      <c r="D49" s="20">
        <v>0</v>
      </c>
      <c r="E49" s="27">
        <v>43</v>
      </c>
      <c r="F49" s="21" t="s">
        <v>937</v>
      </c>
      <c r="G49" s="21" t="s">
        <v>883</v>
      </c>
      <c r="H49" s="25"/>
      <c r="I49" s="25" t="s">
        <v>570</v>
      </c>
      <c r="J49" s="25" t="s">
        <v>570</v>
      </c>
      <c r="K49" s="32" t="s">
        <v>570</v>
      </c>
      <c r="M49" s="23" t="str">
        <f>CONCATENATE(CONTACT!$P$1,E49,", '",F49,"', '",G49,"' , '",H49,"' , '",I49,"' , '",J49,"', '",K49,"'")</f>
        <v>EXECUTE [dbo].[PG_CI_CUSTOMER] 0, 0, 0, 43, 'SELENA LAU', '5166274000' , '' , '' , '', ''</v>
      </c>
      <c r="N49" s="11"/>
    </row>
    <row r="50" spans="1:14" s="10" customFormat="1" ht="12" x14ac:dyDescent="0.25">
      <c r="A50" s="19"/>
      <c r="B50" s="20">
        <v>0</v>
      </c>
      <c r="C50" s="20">
        <v>0</v>
      </c>
      <c r="D50" s="20">
        <v>0</v>
      </c>
      <c r="E50" s="27">
        <v>45</v>
      </c>
      <c r="F50" s="21" t="s">
        <v>938</v>
      </c>
      <c r="G50" s="21" t="s">
        <v>905</v>
      </c>
      <c r="H50" s="25"/>
      <c r="I50" s="25" t="s">
        <v>954</v>
      </c>
      <c r="J50" s="25" t="s">
        <v>570</v>
      </c>
      <c r="K50" s="32" t="s">
        <v>570</v>
      </c>
      <c r="M50" s="23" t="str">
        <f>CONCATENATE(CONTACT!$P$1,E50,", '",F50,"', '",G50,"' , '",H50,"' , '",I50,"' , '",J50,"', '",K50,"'")</f>
        <v>EXECUTE [dbo].[PG_CI_CUSTOMER] 0, 0, 0, 45, 'JOHN RUGGIERO', '5187624543' , '' , 'jruggiero@pearlleather.com' , '', ''</v>
      </c>
      <c r="N50" s="11"/>
    </row>
    <row r="51" spans="1:14" s="10" customFormat="1" ht="12" x14ac:dyDescent="0.25">
      <c r="A51" s="19"/>
      <c r="B51" s="20">
        <v>0</v>
      </c>
      <c r="C51" s="20">
        <v>0</v>
      </c>
      <c r="D51" s="20">
        <v>0</v>
      </c>
      <c r="E51" s="27">
        <v>44</v>
      </c>
      <c r="F51" s="21" t="s">
        <v>939</v>
      </c>
      <c r="G51" s="21" t="s">
        <v>906</v>
      </c>
      <c r="H51" s="25"/>
      <c r="I51" s="25" t="s">
        <v>955</v>
      </c>
      <c r="J51" s="25" t="s">
        <v>570</v>
      </c>
      <c r="K51" s="32" t="s">
        <v>570</v>
      </c>
      <c r="M51" s="23" t="str">
        <f>CONCATENATE(CONTACT!$P$1,E51,", '",F51,"', '",G51,"' , '",H51,"' , '",I51,"' , '",J51,"', '",K51,"'")</f>
        <v>EXECUTE [dbo].[PG_CI_CUSTOMER] 0, 0, 0, 44, 'BILL REID', '2485057417' , '' , 'william.a.reid@att.net' , '', ''</v>
      </c>
      <c r="N51" s="11"/>
    </row>
    <row r="52" spans="1:14" s="10" customFormat="1" ht="12" x14ac:dyDescent="0.25">
      <c r="A52" s="19"/>
      <c r="B52" s="20">
        <v>0</v>
      </c>
      <c r="C52" s="20">
        <v>0</v>
      </c>
      <c r="D52" s="20">
        <v>0</v>
      </c>
      <c r="E52" s="27">
        <v>27</v>
      </c>
      <c r="F52" s="21" t="s">
        <v>940</v>
      </c>
      <c r="G52" s="21" t="s">
        <v>570</v>
      </c>
      <c r="H52" s="25"/>
      <c r="I52" s="25" t="s">
        <v>570</v>
      </c>
      <c r="J52" s="25" t="s">
        <v>570</v>
      </c>
      <c r="K52" s="32" t="s">
        <v>570</v>
      </c>
      <c r="M52" s="23" t="str">
        <f>CONCATENATE(CONTACT!$P$1,E52,", '",F52,"', '",G52,"' , '",H52,"' , '",I52,"' , '",J52,"', '",K52,"'")</f>
        <v>EXECUTE [dbo].[PG_CI_CUSTOMER] 0, 0, 0, 27, 'CECILIA RODRIGUEZ', '' , '' , '' , '', ''</v>
      </c>
      <c r="N52" s="11"/>
    </row>
    <row r="53" spans="1:14" s="10" customFormat="1" ht="12" x14ac:dyDescent="0.25">
      <c r="A53" s="19"/>
      <c r="B53" s="20">
        <v>0</v>
      </c>
      <c r="C53" s="20">
        <v>0</v>
      </c>
      <c r="D53" s="20">
        <v>0</v>
      </c>
      <c r="E53" s="27">
        <v>35</v>
      </c>
      <c r="F53" s="21" t="s">
        <v>941</v>
      </c>
      <c r="G53" s="21" t="s">
        <v>882</v>
      </c>
      <c r="H53" s="25"/>
      <c r="I53" s="25" t="s">
        <v>570</v>
      </c>
      <c r="J53" s="25" t="s">
        <v>570</v>
      </c>
      <c r="K53" s="32" t="s">
        <v>570</v>
      </c>
      <c r="M53" s="23" t="str">
        <f>CONCATENATE(CONTACT!$P$1,E53,", '",F53,"', '",G53,"' , '",H53,"' , '",I53,"' , '",J53,"', '",K53,"'")</f>
        <v>EXECUTE [dbo].[PG_CI_CUSTOMER] 0, 0, 0, 35, 'NORMA GUTIERREZ', '00111528787830150' , '' , '' , '', ''</v>
      </c>
      <c r="N53" s="11"/>
    </row>
    <row r="54" spans="1:14" s="10" customFormat="1" ht="12" x14ac:dyDescent="0.25">
      <c r="A54" s="19"/>
      <c r="B54" s="20">
        <v>0</v>
      </c>
      <c r="C54" s="20">
        <v>0</v>
      </c>
      <c r="D54" s="20">
        <v>0</v>
      </c>
      <c r="E54" s="27">
        <v>28</v>
      </c>
      <c r="F54" s="21" t="s">
        <v>942</v>
      </c>
      <c r="G54" s="21" t="s">
        <v>907</v>
      </c>
      <c r="H54" s="25"/>
      <c r="I54" s="25" t="s">
        <v>570</v>
      </c>
      <c r="J54" s="25" t="s">
        <v>972</v>
      </c>
      <c r="K54" s="32" t="s">
        <v>570</v>
      </c>
      <c r="M54" s="23" t="str">
        <f>CONCATENATE(CONTACT!$P$1,E54,", '",F54,"', '",G54,"' , '",H54,"' , '",I54,"' , '",J54,"', '",K54,"'")</f>
        <v>EXECUTE [dbo].[PG_CI_CUSTOMER] 0, 0, 0, 28, 'MARY KEHOE', '2485869118' , '' , '' , '2486425154', ''</v>
      </c>
      <c r="N54" s="11"/>
    </row>
    <row r="55" spans="1:14" s="10" customFormat="1" ht="12" x14ac:dyDescent="0.25">
      <c r="A55" s="19"/>
      <c r="B55" s="20">
        <v>0</v>
      </c>
      <c r="C55" s="20">
        <v>0</v>
      </c>
      <c r="D55" s="20">
        <v>0</v>
      </c>
      <c r="E55" s="27">
        <v>50</v>
      </c>
      <c r="F55" s="21" t="s">
        <v>943</v>
      </c>
      <c r="G55" s="21" t="s">
        <v>908</v>
      </c>
      <c r="H55" s="25"/>
      <c r="I55" s="25" t="s">
        <v>570</v>
      </c>
      <c r="J55" s="25" t="s">
        <v>570</v>
      </c>
      <c r="K55" s="32" t="s">
        <v>570</v>
      </c>
      <c r="M55" s="23" t="str">
        <f>CONCATENATE(CONTACT!$P$1,E55,", '",F55,"', '",G55,"' , '",H55,"' , '",I55,"' , '",J55,"', '",K55,"'")</f>
        <v>EXECUTE [dbo].[PG_CI_CUSTOMER] 0, 0, 0, 50, 'RICARDO VALTIERRA', '6564011973' , '' , '' , '', ''</v>
      </c>
      <c r="N55" s="11"/>
    </row>
    <row r="56" spans="1:14" s="10" customFormat="1" ht="12" x14ac:dyDescent="0.25">
      <c r="A56" s="19"/>
      <c r="B56" s="20">
        <v>0</v>
      </c>
      <c r="C56" s="20">
        <v>0</v>
      </c>
      <c r="D56" s="20">
        <v>0</v>
      </c>
      <c r="E56" s="27">
        <v>31</v>
      </c>
      <c r="F56" s="21"/>
      <c r="G56" s="21" t="s">
        <v>570</v>
      </c>
      <c r="H56" s="25"/>
      <c r="I56" s="25" t="s">
        <v>570</v>
      </c>
      <c r="J56" s="25" t="s">
        <v>570</v>
      </c>
      <c r="K56" s="32" t="s">
        <v>570</v>
      </c>
      <c r="M56" s="23" t="str">
        <f>CONCATENATE(CONTACT!$P$1,E56,", '",F56,"', '",G56,"' , '",H56,"' , '",I56,"' , '",J56,"', '",K56,"'")</f>
        <v>EXECUTE [dbo].[PG_CI_CUSTOMER] 0, 0, 0, 31, '', '' , '' , '' , '', ''</v>
      </c>
      <c r="N56" s="11"/>
    </row>
    <row r="57" spans="1:14" s="10" customFormat="1" ht="12" x14ac:dyDescent="0.25">
      <c r="A57" s="19"/>
      <c r="B57" s="20">
        <v>0</v>
      </c>
      <c r="C57" s="20">
        <v>0</v>
      </c>
      <c r="D57" s="20">
        <v>0</v>
      </c>
      <c r="E57" s="27">
        <v>36</v>
      </c>
      <c r="F57" s="21" t="s">
        <v>944</v>
      </c>
      <c r="G57" s="21" t="s">
        <v>949</v>
      </c>
      <c r="H57" s="25"/>
      <c r="I57" s="25" t="s">
        <v>570</v>
      </c>
      <c r="J57" s="25" t="s">
        <v>973</v>
      </c>
      <c r="K57" s="32" t="s">
        <v>570</v>
      </c>
      <c r="M57" s="23" t="str">
        <f>CONCATENATE(CONTACT!$P$1,E57,", '",F57,"', '",G57,"' , '",H57,"' , '",I57,"' , '",J57,"', '",K57,"'")</f>
        <v>EXECUTE [dbo].[PG_CI_CUSTOMER] 0, 0, 0, 36, 'BRIAN TANNER', '5196763626' , '' , '' , '3139829198', ''</v>
      </c>
      <c r="N57" s="11"/>
    </row>
    <row r="58" spans="1:14" s="10" customFormat="1" ht="12" x14ac:dyDescent="0.25">
      <c r="A58" s="19"/>
      <c r="B58" s="20">
        <v>0</v>
      </c>
      <c r="C58" s="20">
        <v>0</v>
      </c>
      <c r="D58" s="20">
        <v>0</v>
      </c>
      <c r="E58" s="27">
        <v>55</v>
      </c>
      <c r="F58" s="21"/>
      <c r="G58" s="21" t="s">
        <v>570</v>
      </c>
      <c r="H58" s="25"/>
      <c r="I58" s="25" t="s">
        <v>570</v>
      </c>
      <c r="J58" s="25" t="s">
        <v>570</v>
      </c>
      <c r="K58" s="32" t="s">
        <v>570</v>
      </c>
      <c r="M58" s="23" t="str">
        <f>CONCATENATE(CONTACT!$P$1,E58,", '",F58,"', '",G58,"' , '",H58,"' , '",I58,"' , '",J58,"', '",K58,"'")</f>
        <v>EXECUTE [dbo].[PG_CI_CUSTOMER] 0, 0, 0, 55, '', '' , '' , '' , '', ''</v>
      </c>
      <c r="N58" s="11"/>
    </row>
    <row r="59" spans="1:14" s="10" customFormat="1" ht="12" x14ac:dyDescent="0.25">
      <c r="A59" s="19"/>
      <c r="B59" s="20">
        <v>0</v>
      </c>
      <c r="C59" s="20">
        <v>0</v>
      </c>
      <c r="D59" s="20">
        <v>0</v>
      </c>
      <c r="E59" s="27">
        <v>53</v>
      </c>
      <c r="F59" s="21"/>
      <c r="G59" s="21" t="s">
        <v>570</v>
      </c>
      <c r="H59" s="25"/>
      <c r="I59" s="25" t="s">
        <v>570</v>
      </c>
      <c r="J59" s="25" t="s">
        <v>570</v>
      </c>
      <c r="K59" s="32" t="s">
        <v>570</v>
      </c>
      <c r="M59" s="23" t="str">
        <f>CONCATENATE(CONTACT!$P$1,E59,", '",F59,"', '",G59,"' , '",H59,"' , '",I59,"' , '",J59,"', '",K59,"'")</f>
        <v>EXECUTE [dbo].[PG_CI_CUSTOMER] 0, 0, 0, 53, '', '' , '' , '' , '', ''</v>
      </c>
      <c r="N59" s="11"/>
    </row>
    <row r="60" spans="1:14" s="10" customFormat="1" ht="12" x14ac:dyDescent="0.25">
      <c r="A60" s="19"/>
      <c r="B60" s="20">
        <v>0</v>
      </c>
      <c r="C60" s="20">
        <v>0</v>
      </c>
      <c r="D60" s="20">
        <v>0</v>
      </c>
      <c r="E60" s="27">
        <v>58</v>
      </c>
      <c r="F60" s="21" t="s">
        <v>945</v>
      </c>
      <c r="G60" s="21" t="s">
        <v>950</v>
      </c>
      <c r="H60" s="25"/>
      <c r="I60" s="25" t="s">
        <v>570</v>
      </c>
      <c r="J60" s="25" t="s">
        <v>570</v>
      </c>
      <c r="K60" s="32" t="s">
        <v>570</v>
      </c>
      <c r="M60" s="23" t="str">
        <f>CONCATENATE(CONTACT!$P$1,E60,", '",F60,"', '",G60,"' , '",H60,"' , '",I60,"' , '",J60,"', '",K60,"'")</f>
        <v>EXECUTE [dbo].[PG_CI_CUSTOMER] 0, 0, 0, 58, 'MR. ZHANG WENKANG', '8613061818985' , '' , '' , '', ''</v>
      </c>
      <c r="N60" s="11"/>
    </row>
    <row r="61" spans="1:14" s="10" customFormat="1" ht="12" x14ac:dyDescent="0.25">
      <c r="A61" s="19"/>
      <c r="B61" s="20">
        <v>0</v>
      </c>
      <c r="C61" s="20">
        <v>0</v>
      </c>
      <c r="D61" s="20">
        <v>0</v>
      </c>
      <c r="E61" s="27">
        <v>60</v>
      </c>
      <c r="F61" s="21" t="s">
        <v>946</v>
      </c>
      <c r="G61" s="21" t="s">
        <v>951</v>
      </c>
      <c r="H61" s="25"/>
      <c r="I61" s="25" t="s">
        <v>570</v>
      </c>
      <c r="J61" s="25" t="s">
        <v>570</v>
      </c>
      <c r="K61" s="32" t="s">
        <v>570</v>
      </c>
      <c r="M61" s="23" t="str">
        <f>CONCATENATE(CONTACT!$P$1,E61,", '",F61,"', '",G61,"' , '",H61,"' , '",I61,"' , '",J61,"', '",K61,"'")</f>
        <v>EXECUTE [dbo].[PG_CI_CUSTOMER] 0, 0, 0, 60, 'YUENYONG NATTIDA', '886211963' , '' , '' , '', ''</v>
      </c>
      <c r="N61" s="11"/>
    </row>
    <row r="62" spans="1:14" s="10" customFormat="1" ht="12" x14ac:dyDescent="0.25">
      <c r="A62" s="19"/>
      <c r="B62" s="20"/>
      <c r="C62" s="20"/>
      <c r="D62" s="20"/>
    </row>
    <row r="63" spans="1:14" s="10" customFormat="1" ht="12" x14ac:dyDescent="0.25">
      <c r="A63" s="19"/>
      <c r="B63" s="20"/>
      <c r="C63" s="20"/>
      <c r="D63" s="20"/>
    </row>
    <row r="64" spans="1:14" s="10" customFormat="1" ht="12" x14ac:dyDescent="0.25">
      <c r="A64" s="19"/>
      <c r="B64" s="20"/>
      <c r="C64" s="20"/>
      <c r="D64" s="20"/>
    </row>
    <row r="65" spans="1:14" s="10" customFormat="1" ht="12" x14ac:dyDescent="0.25">
      <c r="A65" s="19"/>
      <c r="B65" s="20"/>
      <c r="C65" s="20"/>
      <c r="D65" s="20"/>
    </row>
    <row r="66" spans="1:14" s="10" customFormat="1" x14ac:dyDescent="0.25">
      <c r="A66" s="19"/>
      <c r="B66" s="20"/>
      <c r="C66" s="20"/>
      <c r="D66" s="20"/>
      <c r="E66" s="27"/>
      <c r="F66" s="21"/>
      <c r="G66" s="22"/>
      <c r="H66" s="25"/>
      <c r="I66" s="25"/>
      <c r="J66" s="31"/>
      <c r="K66" s="25"/>
      <c r="M66" s="23"/>
      <c r="N66" s="11"/>
    </row>
    <row r="67" spans="1:14" s="10" customFormat="1" x14ac:dyDescent="0.25">
      <c r="A67" s="19"/>
      <c r="B67" s="20"/>
      <c r="C67" s="20"/>
      <c r="D67" s="20"/>
      <c r="E67" s="27"/>
      <c r="F67" s="21"/>
      <c r="G67" s="22"/>
      <c r="H67" s="25"/>
      <c r="I67" s="25"/>
      <c r="J67" s="31"/>
      <c r="K67" s="25"/>
      <c r="M67" s="23"/>
      <c r="N67" s="11"/>
    </row>
    <row r="68" spans="1:14" s="10" customFormat="1" x14ac:dyDescent="0.25">
      <c r="A68" s="19"/>
      <c r="B68" s="20"/>
      <c r="C68" s="20"/>
      <c r="D68" s="20"/>
      <c r="E68" s="27"/>
      <c r="F68" s="21"/>
      <c r="G68" s="22"/>
      <c r="H68" s="25"/>
      <c r="I68" s="25"/>
      <c r="J68" s="31"/>
      <c r="K68" s="25"/>
      <c r="M68" s="23"/>
      <c r="N68" s="11"/>
    </row>
    <row r="69" spans="1:14" s="10" customFormat="1" x14ac:dyDescent="0.25">
      <c r="A69" s="19"/>
      <c r="B69" s="20"/>
      <c r="C69" s="20"/>
      <c r="D69" s="20"/>
      <c r="E69" s="27"/>
      <c r="F69" s="21"/>
      <c r="G69" s="22"/>
      <c r="H69" s="25"/>
      <c r="I69" s="25"/>
      <c r="J69" s="31"/>
      <c r="K69" s="25"/>
      <c r="M69" s="23"/>
      <c r="N69" s="11"/>
    </row>
    <row r="70" spans="1:14" s="10" customFormat="1" x14ac:dyDescent="0.25">
      <c r="A70" s="19"/>
      <c r="B70" s="20"/>
      <c r="C70" s="20"/>
      <c r="D70" s="20"/>
      <c r="E70" s="27"/>
      <c r="F70" s="21"/>
      <c r="G70" s="22"/>
      <c r="H70" s="25"/>
      <c r="I70" s="25"/>
      <c r="J70" s="31"/>
      <c r="K70" s="25"/>
      <c r="M70" s="23"/>
      <c r="N70" s="11"/>
    </row>
    <row r="71" spans="1:14" s="10" customFormat="1" x14ac:dyDescent="0.25">
      <c r="A71" s="19"/>
      <c r="B71" s="20"/>
      <c r="C71" s="20"/>
      <c r="D71" s="20"/>
      <c r="E71" s="27"/>
      <c r="F71" s="21"/>
      <c r="G71" s="22"/>
      <c r="H71" s="25"/>
      <c r="I71" s="25"/>
      <c r="J71" s="31"/>
      <c r="K71" s="25"/>
      <c r="M71" s="23"/>
      <c r="N71" s="11"/>
    </row>
    <row r="72" spans="1:14" s="10" customFormat="1" x14ac:dyDescent="0.25">
      <c r="A72" s="19"/>
      <c r="B72" s="20"/>
      <c r="C72" s="20"/>
      <c r="D72" s="20"/>
      <c r="E72" s="27"/>
      <c r="F72" s="21"/>
      <c r="G72" s="22"/>
      <c r="H72" s="25"/>
      <c r="I72" s="25"/>
      <c r="J72" s="31"/>
      <c r="K72" s="25"/>
      <c r="M72" s="23"/>
      <c r="N72" s="11"/>
    </row>
    <row r="73" spans="1:14" s="10" customFormat="1" x14ac:dyDescent="0.25">
      <c r="A73" s="19"/>
      <c r="B73" s="20"/>
      <c r="C73" s="20"/>
      <c r="D73" s="20"/>
      <c r="E73" s="27"/>
      <c r="F73" s="21"/>
      <c r="G73" s="22"/>
      <c r="H73" s="25"/>
      <c r="I73" s="25"/>
      <c r="J73" s="31"/>
      <c r="K73" s="25"/>
      <c r="M73" s="23"/>
      <c r="N73" s="11"/>
    </row>
    <row r="74" spans="1:14" s="10" customFormat="1" x14ac:dyDescent="0.25">
      <c r="A74" s="19"/>
      <c r="B74" s="20"/>
      <c r="C74" s="20"/>
      <c r="D74" s="20"/>
      <c r="E74" s="27"/>
      <c r="F74" s="21"/>
      <c r="G74" s="22"/>
      <c r="H74" s="25"/>
      <c r="I74" s="25"/>
      <c r="J74" s="31"/>
      <c r="K74" s="25"/>
      <c r="M74" s="23"/>
      <c r="N74" s="11"/>
    </row>
    <row r="75" spans="1:14" s="10" customFormat="1" x14ac:dyDescent="0.25">
      <c r="A75" s="19"/>
      <c r="B75" s="20"/>
      <c r="C75" s="20"/>
      <c r="D75" s="20"/>
      <c r="E75" s="27"/>
      <c r="F75" s="21"/>
      <c r="G75" s="22"/>
      <c r="H75" s="25"/>
      <c r="I75" s="25"/>
      <c r="J75" s="31"/>
      <c r="K75" s="25"/>
      <c r="M75" s="23"/>
      <c r="N75" s="11"/>
    </row>
    <row r="76" spans="1:14" s="10" customFormat="1" x14ac:dyDescent="0.25">
      <c r="A76" s="19"/>
      <c r="B76" s="20"/>
      <c r="C76" s="20"/>
      <c r="D76" s="20"/>
      <c r="E76" s="27"/>
      <c r="F76" s="21"/>
      <c r="G76" s="22"/>
      <c r="H76" s="25"/>
      <c r="I76" s="25"/>
      <c r="J76" s="31"/>
      <c r="K76" s="25"/>
      <c r="M76" s="23"/>
      <c r="N76" s="11"/>
    </row>
    <row r="77" spans="1:14" s="10" customFormat="1" x14ac:dyDescent="0.25">
      <c r="A77" s="19"/>
      <c r="B77" s="20"/>
      <c r="C77" s="20"/>
      <c r="D77" s="20"/>
      <c r="E77" s="27"/>
      <c r="F77" s="21"/>
      <c r="G77" s="22"/>
      <c r="H77" s="25"/>
      <c r="I77" s="25"/>
      <c r="J77" s="31"/>
      <c r="K77" s="25"/>
      <c r="M77" s="23"/>
      <c r="N77" s="11"/>
    </row>
    <row r="78" spans="1:14" s="10" customFormat="1" x14ac:dyDescent="0.25">
      <c r="A78" s="19"/>
      <c r="B78" s="20"/>
      <c r="C78" s="20"/>
      <c r="D78" s="20"/>
      <c r="E78" s="27"/>
      <c r="F78" s="21"/>
      <c r="G78" s="22"/>
      <c r="H78" s="25"/>
      <c r="I78" s="25"/>
      <c r="J78" s="31"/>
      <c r="K78" s="25"/>
      <c r="M78" s="23"/>
      <c r="N78" s="11"/>
    </row>
    <row r="79" spans="1:14" s="10" customFormat="1" x14ac:dyDescent="0.25">
      <c r="A79" s="19"/>
      <c r="B79" s="20"/>
      <c r="C79" s="20"/>
      <c r="D79" s="20"/>
      <c r="E79" s="27"/>
      <c r="F79" s="21"/>
      <c r="G79" s="22"/>
      <c r="H79" s="25"/>
      <c r="I79" s="25"/>
      <c r="J79" s="31"/>
      <c r="K79" s="25"/>
      <c r="M79" s="23"/>
      <c r="N79" s="11"/>
    </row>
    <row r="80" spans="1:14" s="10" customFormat="1" x14ac:dyDescent="0.25">
      <c r="A80" s="19"/>
      <c r="B80" s="20"/>
      <c r="C80" s="20"/>
      <c r="D80" s="20"/>
      <c r="E80" s="27"/>
      <c r="F80" s="21"/>
      <c r="G80" s="22"/>
      <c r="H80" s="25"/>
      <c r="I80" s="25"/>
      <c r="J80" s="31"/>
      <c r="K80" s="25"/>
      <c r="M80" s="23"/>
      <c r="N80" s="11"/>
    </row>
    <row r="81" spans="1:14" s="10" customFormat="1" x14ac:dyDescent="0.25">
      <c r="A81" s="19"/>
      <c r="B81" s="20"/>
      <c r="C81" s="20"/>
      <c r="D81" s="20"/>
      <c r="E81" s="27"/>
      <c r="F81" s="21"/>
      <c r="G81" s="22"/>
      <c r="H81" s="25"/>
      <c r="I81" s="25"/>
      <c r="J81" s="31"/>
      <c r="K81" s="25"/>
      <c r="M81" s="23"/>
      <c r="N81" s="11"/>
    </row>
    <row r="82" spans="1:14" s="10" customFormat="1" x14ac:dyDescent="0.25">
      <c r="A82" s="19"/>
      <c r="B82" s="20"/>
      <c r="C82" s="20"/>
      <c r="D82" s="20"/>
      <c r="E82" s="27"/>
      <c r="F82" s="21"/>
      <c r="G82" s="22"/>
      <c r="H82" s="25"/>
      <c r="I82" s="25"/>
      <c r="J82" s="31"/>
      <c r="K82" s="25"/>
      <c r="M82" s="23"/>
      <c r="N82" s="11"/>
    </row>
    <row r="83" spans="1:14" s="10" customFormat="1" x14ac:dyDescent="0.25">
      <c r="A83" s="19"/>
      <c r="B83" s="20"/>
      <c r="C83" s="20"/>
      <c r="D83" s="20"/>
      <c r="E83" s="27"/>
      <c r="F83" s="21"/>
      <c r="G83" s="22"/>
      <c r="H83" s="25"/>
      <c r="I83" s="25"/>
      <c r="J83" s="31"/>
      <c r="K83" s="25"/>
      <c r="M83" s="23"/>
      <c r="N83" s="11"/>
    </row>
    <row r="84" spans="1:14" s="10" customFormat="1" x14ac:dyDescent="0.25">
      <c r="A84" s="19"/>
      <c r="B84" s="20"/>
      <c r="C84" s="20"/>
      <c r="D84" s="20"/>
      <c r="E84" s="27"/>
      <c r="F84" s="21"/>
      <c r="G84" s="22"/>
      <c r="H84" s="25"/>
      <c r="I84" s="25"/>
      <c r="J84" s="31"/>
      <c r="K84" s="25"/>
      <c r="M84" s="23"/>
      <c r="N84" s="11"/>
    </row>
    <row r="85" spans="1:14" s="10" customFormat="1" x14ac:dyDescent="0.25">
      <c r="A85" s="19"/>
      <c r="B85" s="20"/>
      <c r="C85" s="20"/>
      <c r="D85" s="20"/>
      <c r="E85" s="27"/>
      <c r="F85" s="21"/>
      <c r="G85" s="22"/>
      <c r="H85" s="25"/>
      <c r="I85" s="25"/>
      <c r="J85" s="31"/>
      <c r="K85" s="25"/>
      <c r="M85" s="23"/>
      <c r="N85" s="11"/>
    </row>
    <row r="86" spans="1:14" s="10" customFormat="1" x14ac:dyDescent="0.25">
      <c r="A86" s="19"/>
      <c r="B86" s="20"/>
      <c r="C86" s="20"/>
      <c r="D86" s="20"/>
      <c r="E86" s="27"/>
      <c r="F86" s="21"/>
      <c r="G86" s="22"/>
      <c r="H86" s="25"/>
      <c r="I86" s="25"/>
      <c r="J86" s="31"/>
      <c r="K86" s="25"/>
      <c r="M86" s="23"/>
      <c r="N86" s="11"/>
    </row>
    <row r="87" spans="1:14" s="10" customFormat="1" x14ac:dyDescent="0.25">
      <c r="A87" s="19"/>
      <c r="B87" s="20"/>
      <c r="C87" s="20"/>
      <c r="D87" s="20"/>
      <c r="E87" s="27"/>
      <c r="F87" s="21"/>
      <c r="G87" s="22"/>
      <c r="H87" s="25"/>
      <c r="I87" s="25"/>
      <c r="J87" s="31"/>
      <c r="K87" s="25"/>
      <c r="M87" s="23"/>
      <c r="N87" s="11"/>
    </row>
    <row r="88" spans="1:14" s="10" customFormat="1" x14ac:dyDescent="0.25">
      <c r="A88" s="19"/>
      <c r="B88" s="20"/>
      <c r="C88" s="20"/>
      <c r="D88" s="20"/>
      <c r="E88" s="27"/>
      <c r="F88" s="21"/>
      <c r="G88" s="22"/>
      <c r="H88" s="25"/>
      <c r="I88" s="25"/>
      <c r="J88" s="31"/>
      <c r="K88" s="25"/>
      <c r="M88" s="23"/>
      <c r="N88" s="11"/>
    </row>
    <row r="89" spans="1:14" s="10" customFormat="1" x14ac:dyDescent="0.25">
      <c r="A89" s="19"/>
      <c r="B89" s="20"/>
      <c r="C89" s="20"/>
      <c r="D89" s="20"/>
      <c r="E89" s="27"/>
      <c r="F89" s="21"/>
      <c r="G89" s="22"/>
      <c r="H89" s="25"/>
      <c r="I89" s="25"/>
      <c r="J89" s="31"/>
      <c r="K89" s="25"/>
      <c r="M89" s="23"/>
      <c r="N89" s="11"/>
    </row>
    <row r="90" spans="1:14" s="10" customFormat="1" x14ac:dyDescent="0.25">
      <c r="A90" s="19"/>
      <c r="B90" s="20"/>
      <c r="C90" s="20"/>
      <c r="D90" s="20"/>
      <c r="E90" s="27"/>
      <c r="F90" s="21"/>
      <c r="G90" s="22"/>
      <c r="H90" s="25"/>
      <c r="I90" s="25"/>
      <c r="J90" s="31"/>
      <c r="K90" s="25"/>
      <c r="M90" s="23"/>
      <c r="N90" s="11"/>
    </row>
    <row r="91" spans="1:14" s="10" customFormat="1" x14ac:dyDescent="0.25">
      <c r="A91" s="19"/>
      <c r="B91" s="20"/>
      <c r="C91" s="20"/>
      <c r="D91" s="20"/>
      <c r="E91" s="27"/>
      <c r="F91" s="21"/>
      <c r="G91" s="22"/>
      <c r="H91" s="25"/>
      <c r="I91" s="25"/>
      <c r="J91" s="31"/>
      <c r="K91" s="25"/>
      <c r="M91" s="23"/>
      <c r="N91" s="11"/>
    </row>
    <row r="92" spans="1:14" s="10" customFormat="1" x14ac:dyDescent="0.25">
      <c r="A92" s="19"/>
      <c r="B92" s="20"/>
      <c r="C92" s="20"/>
      <c r="D92" s="20"/>
      <c r="E92" s="27"/>
      <c r="F92" s="21"/>
      <c r="G92" s="22"/>
      <c r="H92" s="25"/>
      <c r="I92" s="25"/>
      <c r="J92" s="31"/>
      <c r="K92" s="25"/>
      <c r="M92" s="23"/>
      <c r="N92" s="11"/>
    </row>
    <row r="93" spans="1:14" s="10" customFormat="1" x14ac:dyDescent="0.25">
      <c r="A93" s="19"/>
      <c r="B93" s="20"/>
      <c r="C93" s="20"/>
      <c r="D93" s="20"/>
      <c r="E93" s="27"/>
      <c r="F93" s="21"/>
      <c r="G93" s="22"/>
      <c r="H93" s="25"/>
      <c r="I93" s="25"/>
      <c r="J93" s="31"/>
      <c r="K93" s="25"/>
      <c r="M93" s="23"/>
      <c r="N93" s="11"/>
    </row>
    <row r="94" spans="1:14" s="10" customFormat="1" x14ac:dyDescent="0.25">
      <c r="A94" s="19"/>
      <c r="B94" s="20"/>
      <c r="C94" s="20"/>
      <c r="D94" s="20"/>
      <c r="E94" s="27"/>
      <c r="F94" s="21"/>
      <c r="G94" s="22"/>
      <c r="H94" s="25"/>
      <c r="I94" s="25"/>
      <c r="J94" s="31"/>
      <c r="K94" s="25"/>
      <c r="M94" s="23"/>
      <c r="N94" s="11"/>
    </row>
    <row r="95" spans="1:14" s="10" customFormat="1" x14ac:dyDescent="0.25">
      <c r="A95" s="19"/>
      <c r="B95" s="20"/>
      <c r="C95" s="20"/>
      <c r="D95" s="20"/>
      <c r="E95" s="27"/>
      <c r="F95" s="21"/>
      <c r="G95" s="22"/>
      <c r="H95" s="25"/>
      <c r="I95" s="25"/>
      <c r="J95" s="31"/>
      <c r="K95" s="25"/>
      <c r="M95" s="23"/>
      <c r="N95" s="11"/>
    </row>
    <row r="96" spans="1:14" s="10" customFormat="1" x14ac:dyDescent="0.25">
      <c r="A96" s="19"/>
      <c r="B96" s="20"/>
      <c r="C96" s="20"/>
      <c r="D96" s="20"/>
      <c r="E96" s="27"/>
      <c r="F96" s="21"/>
      <c r="G96" s="22"/>
      <c r="H96" s="25"/>
      <c r="I96" s="25"/>
      <c r="J96" s="31"/>
      <c r="K96" s="25"/>
      <c r="M96" s="23"/>
      <c r="N96" s="11"/>
    </row>
    <row r="97" spans="1:14" s="10" customFormat="1" x14ac:dyDescent="0.25">
      <c r="A97" s="19"/>
      <c r="B97" s="20"/>
      <c r="C97" s="20"/>
      <c r="D97" s="20"/>
      <c r="E97" s="27"/>
      <c r="F97" s="21"/>
      <c r="G97" s="22"/>
      <c r="H97" s="25"/>
      <c r="I97" s="25"/>
      <c r="J97" s="31"/>
      <c r="K97" s="25"/>
      <c r="M97" s="23"/>
      <c r="N97" s="11"/>
    </row>
    <row r="98" spans="1:14" s="10" customFormat="1" x14ac:dyDescent="0.25">
      <c r="A98" s="19"/>
      <c r="B98" s="20"/>
      <c r="C98" s="20"/>
      <c r="D98" s="20"/>
      <c r="E98" s="27"/>
      <c r="F98" s="21"/>
      <c r="G98" s="22"/>
      <c r="H98" s="25"/>
      <c r="I98" s="25"/>
      <c r="J98" s="31"/>
      <c r="K98" s="25"/>
      <c r="M98" s="23"/>
      <c r="N98" s="11"/>
    </row>
    <row r="99" spans="1:14" s="10" customFormat="1" x14ac:dyDescent="0.25">
      <c r="A99" s="19"/>
      <c r="B99" s="20"/>
      <c r="C99" s="20"/>
      <c r="D99" s="20"/>
      <c r="E99" s="27"/>
      <c r="F99" s="21"/>
      <c r="G99" s="22"/>
      <c r="H99" s="25"/>
      <c r="I99" s="25"/>
      <c r="J99" s="31"/>
      <c r="K99" s="25"/>
      <c r="M99" s="23"/>
      <c r="N99" s="11"/>
    </row>
    <row r="100" spans="1:14" s="10" customFormat="1" x14ac:dyDescent="0.25">
      <c r="A100" s="19"/>
      <c r="B100" s="20"/>
      <c r="C100" s="20"/>
      <c r="D100" s="20"/>
      <c r="E100" s="27"/>
      <c r="F100" s="21"/>
      <c r="G100" s="22"/>
      <c r="H100" s="25"/>
      <c r="I100" s="25"/>
      <c r="J100" s="31"/>
      <c r="K100" s="25"/>
      <c r="M100" s="23"/>
      <c r="N100" s="11"/>
    </row>
    <row r="101" spans="1:14" s="10" customFormat="1" x14ac:dyDescent="0.25">
      <c r="A101" s="19"/>
      <c r="B101" s="20"/>
      <c r="C101" s="20"/>
      <c r="D101" s="20"/>
      <c r="E101" s="27"/>
      <c r="F101" s="21"/>
      <c r="G101" s="22"/>
      <c r="H101" s="25"/>
      <c r="I101" s="25"/>
      <c r="J101" s="31"/>
      <c r="K101" s="25"/>
      <c r="M101" s="23"/>
      <c r="N101" s="11"/>
    </row>
    <row r="102" spans="1:14" s="10" customFormat="1" x14ac:dyDescent="0.25">
      <c r="A102" s="19"/>
      <c r="B102" s="20"/>
      <c r="C102" s="20"/>
      <c r="D102" s="20"/>
      <c r="E102" s="27"/>
      <c r="F102" s="21"/>
      <c r="G102" s="22"/>
      <c r="H102" s="25"/>
      <c r="I102" s="25"/>
      <c r="J102" s="31"/>
      <c r="K102" s="25"/>
      <c r="M102" s="23"/>
      <c r="N102" s="11"/>
    </row>
    <row r="103" spans="1:14" s="10" customFormat="1" x14ac:dyDescent="0.25">
      <c r="A103" s="19"/>
      <c r="B103" s="20"/>
      <c r="C103" s="20"/>
      <c r="D103" s="20"/>
      <c r="E103" s="27"/>
      <c r="F103" s="21"/>
      <c r="G103" s="22"/>
      <c r="H103" s="25"/>
      <c r="I103" s="25"/>
      <c r="J103" s="31"/>
      <c r="K103" s="25"/>
      <c r="M103" s="23"/>
      <c r="N103" s="11"/>
    </row>
    <row r="104" spans="1:14" s="10" customFormat="1" x14ac:dyDescent="0.25">
      <c r="A104" s="19"/>
      <c r="B104" s="20"/>
      <c r="C104" s="20"/>
      <c r="D104" s="20"/>
      <c r="E104" s="27"/>
      <c r="F104" s="21"/>
      <c r="G104" s="22"/>
      <c r="H104" s="25"/>
      <c r="I104" s="25"/>
      <c r="J104" s="31"/>
      <c r="K104" s="25"/>
      <c r="M104" s="23"/>
      <c r="N104" s="11"/>
    </row>
    <row r="105" spans="1:14" s="10" customFormat="1" x14ac:dyDescent="0.25">
      <c r="A105" s="19"/>
      <c r="B105" s="20"/>
      <c r="C105" s="20"/>
      <c r="D105" s="20"/>
      <c r="E105" s="27"/>
      <c r="F105" s="21"/>
      <c r="G105" s="22"/>
      <c r="H105" s="25"/>
      <c r="I105" s="25"/>
      <c r="J105" s="31"/>
      <c r="K105" s="25"/>
      <c r="M105" s="23"/>
      <c r="N105" s="11"/>
    </row>
    <row r="106" spans="1:14" s="10" customFormat="1" x14ac:dyDescent="0.25">
      <c r="A106" s="19"/>
      <c r="B106" s="20"/>
      <c r="C106" s="20"/>
      <c r="D106" s="20"/>
      <c r="E106" s="27"/>
      <c r="F106" s="21"/>
      <c r="G106" s="22"/>
      <c r="H106" s="25"/>
      <c r="I106" s="25"/>
      <c r="J106" s="31"/>
      <c r="K106" s="25"/>
      <c r="M106" s="23"/>
      <c r="N106" s="11"/>
    </row>
    <row r="107" spans="1:14" s="10" customFormat="1" x14ac:dyDescent="0.25">
      <c r="A107" s="19"/>
      <c r="B107" s="20"/>
      <c r="C107" s="20"/>
      <c r="D107" s="20"/>
      <c r="E107" s="27"/>
      <c r="F107" s="21"/>
      <c r="G107" s="22"/>
      <c r="H107" s="25"/>
      <c r="I107" s="25"/>
      <c r="J107" s="31"/>
      <c r="K107" s="25"/>
      <c r="M107" s="23"/>
      <c r="N107" s="11"/>
    </row>
    <row r="108" spans="1:14" s="10" customFormat="1" x14ac:dyDescent="0.25">
      <c r="A108" s="19"/>
      <c r="B108" s="20"/>
      <c r="C108" s="20"/>
      <c r="D108" s="20"/>
      <c r="E108" s="27"/>
      <c r="F108" s="21"/>
      <c r="G108" s="22"/>
      <c r="H108" s="25"/>
      <c r="I108" s="25"/>
      <c r="J108" s="31"/>
      <c r="K108" s="25"/>
      <c r="M108" s="23"/>
      <c r="N108" s="11"/>
    </row>
    <row r="109" spans="1:14" s="10" customFormat="1" x14ac:dyDescent="0.25">
      <c r="A109" s="19"/>
      <c r="B109" s="20"/>
      <c r="C109" s="20"/>
      <c r="D109" s="20"/>
      <c r="E109" s="27"/>
      <c r="F109" s="21"/>
      <c r="G109" s="22"/>
      <c r="H109" s="25"/>
      <c r="I109" s="25"/>
      <c r="J109" s="31"/>
      <c r="K109" s="25"/>
      <c r="M109" s="23"/>
      <c r="N109" s="11"/>
    </row>
    <row r="110" spans="1:14" s="10" customFormat="1" x14ac:dyDescent="0.25">
      <c r="A110" s="19"/>
      <c r="B110" s="20"/>
      <c r="C110" s="20"/>
      <c r="D110" s="20"/>
      <c r="E110" s="27"/>
      <c r="F110" s="21"/>
      <c r="G110" s="22"/>
      <c r="H110" s="25"/>
      <c r="I110" s="25"/>
      <c r="J110" s="31"/>
      <c r="K110" s="25"/>
      <c r="M110" s="23"/>
      <c r="N110" s="11"/>
    </row>
    <row r="111" spans="1:14" s="10" customFormat="1" x14ac:dyDescent="0.25">
      <c r="A111" s="19"/>
      <c r="B111" s="20"/>
      <c r="C111" s="20"/>
      <c r="D111" s="20"/>
      <c r="E111" s="27"/>
      <c r="F111" s="21"/>
      <c r="G111" s="22"/>
      <c r="H111" s="25"/>
      <c r="I111" s="25"/>
      <c r="J111" s="31"/>
      <c r="K111" s="25"/>
      <c r="M111" s="23"/>
      <c r="N111" s="11"/>
    </row>
    <row r="112" spans="1:14" s="10" customFormat="1" x14ac:dyDescent="0.25">
      <c r="A112" s="19"/>
      <c r="B112" s="20"/>
      <c r="C112" s="20"/>
      <c r="D112" s="20"/>
      <c r="E112" s="27"/>
      <c r="F112" s="21"/>
      <c r="G112" s="22"/>
      <c r="H112" s="25"/>
      <c r="I112" s="25"/>
      <c r="J112" s="31"/>
      <c r="K112" s="25"/>
      <c r="M112" s="23"/>
      <c r="N112" s="11"/>
    </row>
    <row r="113" spans="1:14" s="10" customFormat="1" x14ac:dyDescent="0.25">
      <c r="A113" s="19"/>
      <c r="B113" s="20"/>
      <c r="C113" s="20"/>
      <c r="D113" s="20"/>
      <c r="E113" s="27"/>
      <c r="F113" s="21"/>
      <c r="G113" s="22"/>
      <c r="H113" s="25"/>
      <c r="I113" s="25"/>
      <c r="J113" s="31"/>
      <c r="K113" s="25"/>
      <c r="M113" s="23"/>
      <c r="N113" s="11"/>
    </row>
    <row r="114" spans="1:14" s="10" customFormat="1" x14ac:dyDescent="0.25">
      <c r="A114" s="19"/>
      <c r="B114" s="20"/>
      <c r="C114" s="20"/>
      <c r="D114" s="20"/>
      <c r="E114" s="27"/>
      <c r="F114" s="21"/>
      <c r="G114" s="22"/>
      <c r="H114" s="25"/>
      <c r="I114" s="25"/>
      <c r="J114" s="31"/>
      <c r="K114" s="25"/>
      <c r="M114" s="23"/>
      <c r="N114" s="11"/>
    </row>
    <row r="115" spans="1:14" s="10" customFormat="1" x14ac:dyDescent="0.25">
      <c r="A115" s="19"/>
      <c r="B115" s="20"/>
      <c r="C115" s="20"/>
      <c r="D115" s="20"/>
      <c r="E115" s="27"/>
      <c r="F115" s="21"/>
      <c r="G115" s="22"/>
      <c r="H115" s="25"/>
      <c r="I115" s="25"/>
      <c r="J115" s="31"/>
      <c r="K115" s="25"/>
      <c r="M115" s="23"/>
      <c r="N115" s="11"/>
    </row>
    <row r="116" spans="1:14" s="10" customFormat="1" x14ac:dyDescent="0.25">
      <c r="A116" s="19"/>
      <c r="B116" s="20"/>
      <c r="C116" s="20"/>
      <c r="D116" s="20"/>
      <c r="E116" s="27"/>
      <c r="F116" s="21"/>
      <c r="G116" s="22"/>
      <c r="H116" s="25"/>
      <c r="I116" s="25"/>
      <c r="J116" s="31"/>
      <c r="K116" s="25"/>
      <c r="M116" s="23"/>
      <c r="N116" s="11"/>
    </row>
    <row r="117" spans="1:14" s="10" customFormat="1" x14ac:dyDescent="0.25">
      <c r="A117" s="19"/>
      <c r="B117" s="20"/>
      <c r="C117" s="20"/>
      <c r="D117" s="20"/>
      <c r="E117" s="27"/>
      <c r="F117" s="21"/>
      <c r="G117" s="22"/>
      <c r="H117" s="25"/>
      <c r="I117" s="25"/>
      <c r="J117" s="31"/>
      <c r="K117" s="25"/>
      <c r="M117" s="23"/>
      <c r="N117" s="11"/>
    </row>
    <row r="118" spans="1:14" s="10" customFormat="1" x14ac:dyDescent="0.25">
      <c r="A118" s="19"/>
      <c r="B118" s="20"/>
      <c r="C118" s="20"/>
      <c r="D118" s="20"/>
      <c r="E118" s="27"/>
      <c r="F118" s="21"/>
      <c r="G118" s="22"/>
      <c r="H118" s="25"/>
      <c r="I118" s="25"/>
      <c r="J118" s="31"/>
      <c r="K118" s="25"/>
      <c r="M118" s="23"/>
      <c r="N118" s="11"/>
    </row>
    <row r="119" spans="1:14" s="10" customFormat="1" x14ac:dyDescent="0.25">
      <c r="A119" s="19"/>
      <c r="B119" s="20"/>
      <c r="C119" s="20"/>
      <c r="D119" s="20"/>
      <c r="E119" s="27"/>
      <c r="F119" s="21"/>
      <c r="G119" s="22"/>
      <c r="H119" s="25"/>
      <c r="I119" s="25"/>
      <c r="J119" s="31"/>
      <c r="K119" s="25"/>
      <c r="M119" s="23"/>
      <c r="N119" s="11"/>
    </row>
    <row r="120" spans="1:14" s="10" customFormat="1" x14ac:dyDescent="0.25">
      <c r="A120" s="19"/>
      <c r="B120" s="20"/>
      <c r="C120" s="20"/>
      <c r="D120" s="20"/>
      <c r="E120" s="27"/>
      <c r="F120" s="21"/>
      <c r="G120" s="22"/>
      <c r="H120" s="25"/>
      <c r="I120" s="25"/>
      <c r="J120" s="31"/>
      <c r="K120" s="25"/>
      <c r="M120" s="23"/>
      <c r="N120" s="11"/>
    </row>
    <row r="121" spans="1:14" s="10" customFormat="1" x14ac:dyDescent="0.25">
      <c r="A121" s="19"/>
      <c r="B121" s="20"/>
      <c r="C121" s="20"/>
      <c r="D121" s="20"/>
      <c r="E121" s="27"/>
      <c r="F121" s="21"/>
      <c r="G121" s="22"/>
      <c r="H121" s="25"/>
      <c r="I121" s="25"/>
      <c r="J121" s="31"/>
      <c r="K121" s="25"/>
      <c r="M121" s="23"/>
      <c r="N121" s="11"/>
    </row>
    <row r="122" spans="1:14" s="10" customFormat="1" x14ac:dyDescent="0.25">
      <c r="A122" s="19"/>
      <c r="B122" s="20"/>
      <c r="C122" s="20"/>
      <c r="D122" s="20"/>
      <c r="E122" s="27"/>
      <c r="F122" s="21"/>
      <c r="G122" s="22"/>
      <c r="H122" s="25"/>
      <c r="I122" s="25"/>
      <c r="J122" s="31"/>
      <c r="K122" s="25"/>
      <c r="M122" s="23"/>
      <c r="N122" s="11"/>
    </row>
    <row r="123" spans="1:14" s="10" customFormat="1" x14ac:dyDescent="0.25">
      <c r="A123" s="19"/>
      <c r="B123" s="20"/>
      <c r="C123" s="20"/>
      <c r="D123" s="20"/>
      <c r="E123" s="27"/>
      <c r="F123" s="21"/>
      <c r="G123" s="22"/>
      <c r="H123" s="25"/>
      <c r="I123" s="25"/>
      <c r="J123" s="31"/>
      <c r="K123" s="25"/>
      <c r="M123" s="23"/>
      <c r="N123" s="11"/>
    </row>
    <row r="124" spans="1:14" s="10" customFormat="1" x14ac:dyDescent="0.25">
      <c r="A124" s="19"/>
      <c r="B124" s="20"/>
      <c r="C124" s="20"/>
      <c r="D124" s="20"/>
      <c r="E124" s="27"/>
      <c r="F124" s="21"/>
      <c r="G124" s="22"/>
      <c r="H124" s="25"/>
      <c r="I124" s="25"/>
      <c r="J124" s="31"/>
      <c r="K124" s="25"/>
      <c r="M124" s="23"/>
      <c r="N124" s="11"/>
    </row>
    <row r="125" spans="1:14" s="10" customFormat="1" x14ac:dyDescent="0.25">
      <c r="A125" s="19"/>
      <c r="B125" s="20"/>
      <c r="C125" s="20"/>
      <c r="D125" s="20"/>
      <c r="E125" s="27"/>
      <c r="F125" s="21"/>
      <c r="G125" s="22"/>
      <c r="H125" s="25"/>
      <c r="I125" s="25"/>
      <c r="J125" s="31"/>
      <c r="K125" s="25"/>
      <c r="M125" s="23"/>
      <c r="N125" s="11"/>
    </row>
    <row r="126" spans="1:14" s="10" customFormat="1" x14ac:dyDescent="0.25">
      <c r="A126" s="19"/>
      <c r="B126" s="20"/>
      <c r="C126" s="20"/>
      <c r="D126" s="20"/>
      <c r="E126" s="27"/>
      <c r="F126" s="21"/>
      <c r="G126" s="22"/>
      <c r="H126" s="25"/>
      <c r="I126" s="25"/>
      <c r="J126" s="31"/>
      <c r="K126" s="25"/>
      <c r="M126" s="23"/>
      <c r="N126" s="11"/>
    </row>
    <row r="127" spans="1:14" s="10" customFormat="1" x14ac:dyDescent="0.25">
      <c r="A127" s="19"/>
      <c r="B127" s="20"/>
      <c r="C127" s="20"/>
      <c r="D127" s="20"/>
      <c r="E127" s="27"/>
      <c r="F127" s="21"/>
      <c r="G127" s="22"/>
      <c r="H127" s="25"/>
      <c r="I127" s="25"/>
      <c r="J127" s="31"/>
      <c r="K127" s="25"/>
      <c r="M127" s="23"/>
      <c r="N127" s="11"/>
    </row>
    <row r="128" spans="1:14" s="10" customFormat="1" x14ac:dyDescent="0.25">
      <c r="A128" s="19"/>
      <c r="B128" s="20"/>
      <c r="C128" s="20"/>
      <c r="D128" s="20"/>
      <c r="E128" s="27"/>
      <c r="F128" s="21"/>
      <c r="G128" s="22"/>
      <c r="H128" s="25"/>
      <c r="I128" s="25"/>
      <c r="J128" s="31"/>
      <c r="K128" s="25"/>
      <c r="M128" s="23"/>
      <c r="N128" s="11"/>
    </row>
    <row r="129" spans="1:14" s="10" customFormat="1" x14ac:dyDescent="0.25">
      <c r="A129" s="19"/>
      <c r="B129" s="20"/>
      <c r="C129" s="20"/>
      <c r="D129" s="20"/>
      <c r="E129" s="27"/>
      <c r="F129" s="21"/>
      <c r="G129" s="22"/>
      <c r="H129" s="25"/>
      <c r="I129" s="25"/>
      <c r="J129" s="31"/>
      <c r="K129" s="25"/>
      <c r="M129" s="23"/>
      <c r="N129" s="11"/>
    </row>
    <row r="130" spans="1:14" s="10" customFormat="1" x14ac:dyDescent="0.25">
      <c r="A130" s="19"/>
      <c r="B130" s="20"/>
      <c r="C130" s="20"/>
      <c r="D130" s="20"/>
      <c r="E130" s="27"/>
      <c r="F130" s="21"/>
      <c r="G130" s="22"/>
      <c r="H130" s="25"/>
      <c r="I130" s="25"/>
      <c r="J130" s="31"/>
      <c r="K130" s="25"/>
      <c r="M130" s="23"/>
      <c r="N130" s="11"/>
    </row>
    <row r="131" spans="1:14" s="10" customFormat="1" x14ac:dyDescent="0.25">
      <c r="A131" s="19"/>
      <c r="B131" s="20"/>
      <c r="C131" s="20"/>
      <c r="D131" s="20"/>
      <c r="E131" s="27"/>
      <c r="F131" s="21"/>
      <c r="G131" s="22"/>
      <c r="H131" s="25"/>
      <c r="I131" s="25"/>
      <c r="J131" s="31"/>
      <c r="K131" s="25"/>
      <c r="M131" s="23"/>
      <c r="N131" s="11"/>
    </row>
    <row r="132" spans="1:14" s="10" customFormat="1" x14ac:dyDescent="0.25">
      <c r="A132" s="19"/>
      <c r="B132" s="20"/>
      <c r="C132" s="20"/>
      <c r="D132" s="20"/>
      <c r="E132" s="27"/>
      <c r="F132" s="21"/>
      <c r="G132" s="22"/>
      <c r="H132" s="25"/>
      <c r="I132" s="25"/>
      <c r="J132" s="31"/>
      <c r="K132" s="25"/>
      <c r="M132" s="23"/>
      <c r="N132" s="11"/>
    </row>
    <row r="133" spans="1:14" s="10" customFormat="1" x14ac:dyDescent="0.25">
      <c r="A133" s="19"/>
      <c r="B133" s="20"/>
      <c r="C133" s="20"/>
      <c r="D133" s="20"/>
      <c r="E133" s="27"/>
      <c r="F133" s="21"/>
      <c r="G133" s="22"/>
      <c r="H133" s="25"/>
      <c r="I133" s="25"/>
      <c r="J133" s="31"/>
      <c r="K133" s="25"/>
      <c r="M133" s="23"/>
      <c r="N133" s="11"/>
    </row>
    <row r="134" spans="1:14" s="10" customFormat="1" x14ac:dyDescent="0.25">
      <c r="A134" s="19"/>
      <c r="B134" s="20"/>
      <c r="C134" s="20"/>
      <c r="D134" s="20"/>
      <c r="E134" s="27"/>
      <c r="F134" s="21"/>
      <c r="G134" s="22"/>
      <c r="H134" s="25"/>
      <c r="I134" s="25"/>
      <c r="J134" s="31"/>
      <c r="K134" s="25"/>
      <c r="M134" s="23"/>
      <c r="N134" s="11"/>
    </row>
    <row r="135" spans="1:14" s="10" customFormat="1" x14ac:dyDescent="0.25">
      <c r="A135" s="19"/>
      <c r="B135" s="20"/>
      <c r="C135" s="20"/>
      <c r="D135" s="20"/>
      <c r="E135" s="27"/>
      <c r="F135" s="21"/>
      <c r="G135" s="22"/>
      <c r="H135" s="25"/>
      <c r="I135" s="25"/>
      <c r="J135" s="31"/>
      <c r="K135" s="25"/>
      <c r="M135" s="23"/>
      <c r="N135" s="11"/>
    </row>
    <row r="136" spans="1:14" s="10" customFormat="1" x14ac:dyDescent="0.25">
      <c r="A136" s="19"/>
      <c r="B136" s="20"/>
      <c r="C136" s="20"/>
      <c r="D136" s="20"/>
      <c r="E136" s="27"/>
      <c r="F136" s="21"/>
      <c r="G136" s="22"/>
      <c r="H136" s="25"/>
      <c r="I136" s="25"/>
      <c r="J136" s="31"/>
      <c r="K136" s="25"/>
      <c r="M136" s="23"/>
      <c r="N136" s="11"/>
    </row>
    <row r="137" spans="1:14" s="10" customFormat="1" x14ac:dyDescent="0.25">
      <c r="A137" s="19"/>
      <c r="B137" s="20"/>
      <c r="C137" s="20"/>
      <c r="D137" s="20"/>
      <c r="E137" s="27"/>
      <c r="F137" s="21"/>
      <c r="G137" s="22"/>
      <c r="H137" s="25"/>
      <c r="I137" s="25"/>
      <c r="J137" s="31"/>
      <c r="K137" s="25"/>
      <c r="M137" s="23"/>
      <c r="N137" s="11"/>
    </row>
    <row r="138" spans="1:14" s="10" customFormat="1" x14ac:dyDescent="0.25">
      <c r="A138" s="19"/>
      <c r="B138" s="20"/>
      <c r="C138" s="20"/>
      <c r="D138" s="20"/>
      <c r="E138" s="27"/>
      <c r="F138" s="21"/>
      <c r="G138" s="22"/>
      <c r="H138" s="25"/>
      <c r="I138" s="25"/>
      <c r="J138" s="31"/>
      <c r="K138" s="25"/>
      <c r="M138" s="23"/>
      <c r="N138" s="11"/>
    </row>
    <row r="139" spans="1:14" s="10" customFormat="1" x14ac:dyDescent="0.25">
      <c r="A139" s="19"/>
      <c r="B139" s="20"/>
      <c r="C139" s="20"/>
      <c r="D139" s="20"/>
      <c r="E139" s="27"/>
      <c r="F139" s="21"/>
      <c r="G139" s="22"/>
      <c r="H139" s="25"/>
      <c r="I139" s="25"/>
      <c r="J139" s="31"/>
      <c r="K139" s="25"/>
      <c r="M139" s="23"/>
      <c r="N139" s="11"/>
    </row>
    <row r="140" spans="1:14" s="10" customFormat="1" x14ac:dyDescent="0.25">
      <c r="A140" s="19"/>
      <c r="B140" s="20"/>
      <c r="C140" s="20"/>
      <c r="D140" s="20"/>
      <c r="E140" s="27"/>
      <c r="F140" s="21"/>
      <c r="G140" s="22"/>
      <c r="H140" s="25"/>
      <c r="I140" s="25"/>
      <c r="J140" s="31"/>
      <c r="K140" s="25"/>
      <c r="M140" s="23"/>
      <c r="N140" s="11"/>
    </row>
    <row r="141" spans="1:14" s="10" customFormat="1" x14ac:dyDescent="0.25">
      <c r="A141" s="19"/>
      <c r="B141" s="20"/>
      <c r="C141" s="20"/>
      <c r="D141" s="20"/>
      <c r="E141" s="27"/>
      <c r="F141" s="21"/>
      <c r="G141" s="22"/>
      <c r="H141" s="25"/>
      <c r="I141" s="25"/>
      <c r="J141" s="31"/>
      <c r="K141" s="25"/>
      <c r="M141" s="23"/>
      <c r="N141" s="11"/>
    </row>
    <row r="142" spans="1:14" s="10" customFormat="1" x14ac:dyDescent="0.25">
      <c r="A142" s="19"/>
      <c r="B142" s="20"/>
      <c r="C142" s="20"/>
      <c r="D142" s="20"/>
      <c r="E142" s="27"/>
      <c r="F142" s="21"/>
      <c r="G142" s="22"/>
      <c r="H142" s="25"/>
      <c r="I142" s="25"/>
      <c r="J142" s="31"/>
      <c r="K142" s="25"/>
      <c r="M142" s="23"/>
      <c r="N142" s="11"/>
    </row>
    <row r="143" spans="1:14" s="10" customFormat="1" x14ac:dyDescent="0.25">
      <c r="A143" s="19"/>
      <c r="B143" s="20"/>
      <c r="C143" s="20"/>
      <c r="D143" s="20"/>
      <c r="E143" s="27"/>
      <c r="F143" s="21"/>
      <c r="G143" s="22"/>
      <c r="H143" s="25"/>
      <c r="I143" s="25"/>
      <c r="J143" s="31"/>
      <c r="K143" s="25"/>
      <c r="M143" s="23"/>
      <c r="N143" s="11"/>
    </row>
    <row r="144" spans="1:14" s="10" customFormat="1" x14ac:dyDescent="0.25">
      <c r="A144" s="19"/>
      <c r="B144" s="20"/>
      <c r="C144" s="20"/>
      <c r="D144" s="20"/>
      <c r="E144" s="27"/>
      <c r="F144" s="21"/>
      <c r="G144" s="22"/>
      <c r="H144" s="25"/>
      <c r="I144" s="25"/>
      <c r="J144" s="31"/>
      <c r="K144" s="25"/>
      <c r="M144" s="23"/>
      <c r="N144" s="11"/>
    </row>
    <row r="145" spans="1:14" s="10" customFormat="1" x14ac:dyDescent="0.25">
      <c r="A145" s="19"/>
      <c r="B145" s="20"/>
      <c r="C145" s="20"/>
      <c r="D145" s="20"/>
      <c r="E145" s="27"/>
      <c r="F145" s="21"/>
      <c r="G145" s="22"/>
      <c r="H145" s="25"/>
      <c r="I145" s="25"/>
      <c r="J145" s="31"/>
      <c r="K145" s="25"/>
      <c r="M145" s="23"/>
      <c r="N145" s="11"/>
    </row>
    <row r="146" spans="1:14" s="10" customFormat="1" x14ac:dyDescent="0.25">
      <c r="A146" s="19"/>
      <c r="B146" s="20"/>
      <c r="C146" s="20"/>
      <c r="D146" s="20"/>
      <c r="E146" s="27"/>
      <c r="F146" s="21"/>
      <c r="G146" s="22"/>
      <c r="H146" s="25"/>
      <c r="I146" s="25"/>
      <c r="J146" s="31"/>
      <c r="K146" s="25"/>
      <c r="M146" s="23"/>
      <c r="N146" s="11"/>
    </row>
    <row r="147" spans="1:14" s="10" customFormat="1" x14ac:dyDescent="0.25">
      <c r="A147" s="19"/>
      <c r="B147" s="20"/>
      <c r="C147" s="20"/>
      <c r="D147" s="20"/>
      <c r="E147" s="27"/>
      <c r="F147" s="21"/>
      <c r="G147" s="22"/>
      <c r="H147" s="25"/>
      <c r="I147" s="25"/>
      <c r="J147" s="31"/>
      <c r="K147" s="25"/>
      <c r="M147" s="23"/>
      <c r="N147" s="11"/>
    </row>
    <row r="148" spans="1:14" s="10" customFormat="1" x14ac:dyDescent="0.25">
      <c r="A148" s="19"/>
      <c r="B148" s="20"/>
      <c r="C148" s="20"/>
      <c r="D148" s="20"/>
      <c r="E148" s="27"/>
      <c r="F148" s="21"/>
      <c r="G148" s="22"/>
      <c r="H148" s="25"/>
      <c r="I148" s="25"/>
      <c r="J148" s="31"/>
      <c r="K148" s="25"/>
      <c r="M148" s="23"/>
      <c r="N148" s="11"/>
    </row>
    <row r="149" spans="1:14" s="10" customFormat="1" x14ac:dyDescent="0.25">
      <c r="A149" s="19"/>
      <c r="B149" s="20"/>
      <c r="C149" s="20"/>
      <c r="D149" s="20"/>
      <c r="E149" s="27"/>
      <c r="F149" s="21"/>
      <c r="G149" s="22"/>
      <c r="H149" s="25"/>
      <c r="I149" s="25"/>
      <c r="J149" s="31"/>
      <c r="K149" s="25"/>
      <c r="M149" s="23"/>
      <c r="N149" s="11"/>
    </row>
    <row r="150" spans="1:14" s="10" customFormat="1" x14ac:dyDescent="0.25">
      <c r="A150" s="19"/>
      <c r="B150" s="20"/>
      <c r="C150" s="20"/>
      <c r="D150" s="20"/>
      <c r="E150" s="27"/>
      <c r="F150" s="21"/>
      <c r="G150" s="22"/>
      <c r="H150" s="25"/>
      <c r="I150" s="25"/>
      <c r="J150" s="31"/>
      <c r="K150" s="25"/>
      <c r="M150" s="23"/>
      <c r="N150" s="11"/>
    </row>
    <row r="151" spans="1:14" s="10" customFormat="1" x14ac:dyDescent="0.25">
      <c r="A151" s="19"/>
      <c r="B151" s="20"/>
      <c r="C151" s="20"/>
      <c r="D151" s="20"/>
      <c r="E151" s="27"/>
      <c r="F151" s="21"/>
      <c r="G151" s="22"/>
      <c r="H151" s="25"/>
      <c r="I151" s="25"/>
      <c r="J151" s="31"/>
      <c r="K151" s="25"/>
      <c r="M151" s="23"/>
      <c r="N151" s="11"/>
    </row>
    <row r="152" spans="1:14" s="10" customFormat="1" x14ac:dyDescent="0.25">
      <c r="A152" s="19"/>
      <c r="B152" s="20"/>
      <c r="C152" s="20"/>
      <c r="D152" s="20"/>
      <c r="E152" s="27"/>
      <c r="F152" s="21"/>
      <c r="G152" s="22"/>
      <c r="H152" s="25"/>
      <c r="I152" s="25"/>
      <c r="J152" s="31"/>
      <c r="K152" s="25"/>
      <c r="M152" s="23"/>
      <c r="N152" s="11"/>
    </row>
    <row r="153" spans="1:14" s="10" customFormat="1" x14ac:dyDescent="0.25">
      <c r="A153" s="19"/>
      <c r="B153" s="20"/>
      <c r="C153" s="20"/>
      <c r="D153" s="20"/>
      <c r="E153" s="27"/>
      <c r="F153" s="21"/>
      <c r="G153" s="22"/>
      <c r="H153" s="25"/>
      <c r="I153" s="25"/>
      <c r="J153" s="31"/>
      <c r="K153" s="25"/>
      <c r="M153" s="23"/>
      <c r="N153" s="11"/>
    </row>
    <row r="154" spans="1:14" s="10" customFormat="1" x14ac:dyDescent="0.25">
      <c r="A154" s="19"/>
      <c r="B154" s="20"/>
      <c r="C154" s="20"/>
      <c r="D154" s="20"/>
      <c r="E154" s="27"/>
      <c r="F154" s="21"/>
      <c r="G154" s="22"/>
      <c r="H154" s="25"/>
      <c r="I154" s="25"/>
      <c r="J154" s="31"/>
      <c r="K154" s="25"/>
      <c r="M154" s="23"/>
      <c r="N154" s="11"/>
    </row>
    <row r="155" spans="1:14" s="10" customFormat="1" x14ac:dyDescent="0.25">
      <c r="A155" s="19"/>
      <c r="B155" s="20"/>
      <c r="C155" s="20"/>
      <c r="D155" s="20"/>
      <c r="E155" s="27"/>
      <c r="F155" s="21"/>
      <c r="G155" s="22"/>
      <c r="H155" s="25"/>
      <c r="I155" s="25"/>
      <c r="J155" s="31"/>
      <c r="K155" s="25"/>
      <c r="M155" s="23"/>
      <c r="N155" s="11"/>
    </row>
    <row r="156" spans="1:14" s="10" customFormat="1" x14ac:dyDescent="0.25">
      <c r="A156" s="19"/>
      <c r="B156" s="20"/>
      <c r="C156" s="20"/>
      <c r="D156" s="20"/>
      <c r="E156" s="27"/>
      <c r="F156" s="21"/>
      <c r="G156" s="22"/>
      <c r="H156" s="25"/>
      <c r="I156" s="25"/>
      <c r="J156" s="31"/>
      <c r="K156" s="25"/>
      <c r="M156" s="23"/>
      <c r="N156" s="11"/>
    </row>
    <row r="157" spans="1:14" s="10" customFormat="1" x14ac:dyDescent="0.25">
      <c r="A157" s="19"/>
      <c r="B157" s="20"/>
      <c r="C157" s="20"/>
      <c r="D157" s="20"/>
      <c r="E157" s="27"/>
      <c r="F157" s="21"/>
      <c r="G157" s="22"/>
      <c r="H157" s="25"/>
      <c r="I157" s="25"/>
      <c r="J157" s="31"/>
      <c r="K157" s="25"/>
      <c r="M157" s="23"/>
      <c r="N157" s="11"/>
    </row>
    <row r="158" spans="1:14" s="10" customFormat="1" x14ac:dyDescent="0.25">
      <c r="A158" s="19"/>
      <c r="B158" s="20"/>
      <c r="C158" s="20"/>
      <c r="D158" s="20"/>
      <c r="E158" s="27"/>
      <c r="F158" s="21"/>
      <c r="G158" s="22"/>
      <c r="H158" s="25"/>
      <c r="I158" s="25"/>
      <c r="J158" s="31"/>
      <c r="K158" s="25"/>
      <c r="M158" s="23"/>
      <c r="N158" s="11"/>
    </row>
    <row r="159" spans="1:14" s="10" customFormat="1" x14ac:dyDescent="0.25">
      <c r="A159" s="19"/>
      <c r="B159" s="20"/>
      <c r="C159" s="20"/>
      <c r="D159" s="20"/>
      <c r="E159" s="27"/>
      <c r="F159" s="21"/>
      <c r="G159" s="22"/>
      <c r="H159" s="25"/>
      <c r="I159" s="25"/>
      <c r="J159" s="31"/>
      <c r="K159" s="25"/>
      <c r="M159" s="23"/>
      <c r="N159" s="11"/>
    </row>
    <row r="160" spans="1:14" s="10" customFormat="1" x14ac:dyDescent="0.25">
      <c r="A160" s="19"/>
      <c r="B160" s="20"/>
      <c r="C160" s="20"/>
      <c r="D160" s="20"/>
      <c r="E160" s="27"/>
      <c r="F160" s="21"/>
      <c r="G160" s="22"/>
      <c r="H160" s="25"/>
      <c r="I160" s="25"/>
      <c r="J160" s="31"/>
      <c r="K160" s="25"/>
      <c r="M160" s="23"/>
      <c r="N160" s="11"/>
    </row>
    <row r="161" spans="1:14" s="10" customFormat="1" x14ac:dyDescent="0.25">
      <c r="A161" s="19"/>
      <c r="B161" s="20"/>
      <c r="C161" s="20"/>
      <c r="D161" s="20"/>
      <c r="E161" s="27"/>
      <c r="F161" s="21"/>
      <c r="G161" s="22"/>
      <c r="H161" s="25"/>
      <c r="I161" s="25"/>
      <c r="J161" s="31"/>
      <c r="K161" s="25"/>
      <c r="M161" s="23"/>
      <c r="N161" s="11"/>
    </row>
    <row r="162" spans="1:14" s="10" customFormat="1" x14ac:dyDescent="0.25">
      <c r="A162" s="19"/>
      <c r="B162" s="20"/>
      <c r="C162" s="20"/>
      <c r="D162" s="20"/>
      <c r="E162" s="27"/>
      <c r="F162" s="21"/>
      <c r="G162" s="22"/>
      <c r="H162" s="25"/>
      <c r="I162" s="25"/>
      <c r="J162" s="31"/>
      <c r="K162" s="25"/>
      <c r="M162" s="23"/>
      <c r="N162" s="11"/>
    </row>
    <row r="163" spans="1:14" s="10" customFormat="1" x14ac:dyDescent="0.25">
      <c r="A163" s="19"/>
      <c r="B163" s="20"/>
      <c r="C163" s="20"/>
      <c r="D163" s="20"/>
      <c r="E163" s="27"/>
      <c r="F163" s="21"/>
      <c r="G163" s="22"/>
      <c r="H163" s="25"/>
      <c r="I163" s="25"/>
      <c r="J163" s="31"/>
      <c r="K163" s="25"/>
      <c r="M163" s="23"/>
      <c r="N163" s="11"/>
    </row>
    <row r="164" spans="1:14" s="10" customFormat="1" x14ac:dyDescent="0.25">
      <c r="A164" s="19"/>
      <c r="B164" s="20"/>
      <c r="C164" s="20"/>
      <c r="D164" s="20"/>
      <c r="E164" s="27"/>
      <c r="F164" s="21"/>
      <c r="G164" s="22"/>
      <c r="H164" s="25"/>
      <c r="I164" s="25"/>
      <c r="J164" s="31"/>
      <c r="K164" s="25"/>
      <c r="M164" s="23"/>
      <c r="N164" s="11"/>
    </row>
    <row r="165" spans="1:14" s="10" customFormat="1" x14ac:dyDescent="0.25">
      <c r="A165" s="19"/>
      <c r="B165" s="20"/>
      <c r="C165" s="20"/>
      <c r="D165" s="20"/>
      <c r="E165" s="27"/>
      <c r="F165" s="21"/>
      <c r="G165" s="22"/>
      <c r="H165" s="25"/>
      <c r="I165" s="25"/>
      <c r="J165" s="31"/>
      <c r="K165" s="25"/>
      <c r="M165" s="23"/>
      <c r="N165" s="11"/>
    </row>
    <row r="166" spans="1:14" s="10" customFormat="1" x14ac:dyDescent="0.25">
      <c r="A166" s="19"/>
      <c r="B166" s="20"/>
      <c r="C166" s="20"/>
      <c r="D166" s="20"/>
      <c r="E166" s="27"/>
      <c r="F166" s="21"/>
      <c r="G166" s="22"/>
      <c r="H166" s="25"/>
      <c r="I166" s="25"/>
      <c r="J166" s="31"/>
      <c r="K166" s="25"/>
      <c r="M166" s="23"/>
      <c r="N166" s="11"/>
    </row>
    <row r="167" spans="1:14" s="10" customFormat="1" x14ac:dyDescent="0.25">
      <c r="A167" s="19"/>
      <c r="B167" s="20"/>
      <c r="C167" s="20"/>
      <c r="D167" s="20"/>
      <c r="E167" s="27"/>
      <c r="F167" s="21"/>
      <c r="G167" s="22"/>
      <c r="H167" s="25"/>
      <c r="I167" s="25"/>
      <c r="J167" s="31"/>
      <c r="K167" s="25"/>
      <c r="M167" s="23"/>
      <c r="N167" s="11"/>
    </row>
    <row r="168" spans="1:14" s="10" customFormat="1" x14ac:dyDescent="0.25">
      <c r="A168" s="19"/>
      <c r="B168" s="20"/>
      <c r="C168" s="20"/>
      <c r="D168" s="20"/>
      <c r="E168" s="27"/>
      <c r="F168" s="21"/>
      <c r="G168" s="22"/>
      <c r="H168" s="25"/>
      <c r="I168" s="25"/>
      <c r="J168" s="31"/>
      <c r="K168" s="25"/>
      <c r="M168" s="23"/>
      <c r="N168" s="11"/>
    </row>
    <row r="169" spans="1:14" s="10" customFormat="1" x14ac:dyDescent="0.25">
      <c r="A169" s="19"/>
      <c r="B169" s="20"/>
      <c r="C169" s="20"/>
      <c r="D169" s="20"/>
      <c r="E169" s="27"/>
      <c r="F169" s="21"/>
      <c r="G169" s="22"/>
      <c r="H169" s="25"/>
      <c r="I169" s="25"/>
      <c r="J169" s="31"/>
      <c r="K169" s="25"/>
      <c r="M169" s="23"/>
      <c r="N169" s="11"/>
    </row>
    <row r="170" spans="1:14" s="10" customFormat="1" x14ac:dyDescent="0.25">
      <c r="A170" s="19"/>
      <c r="B170" s="20"/>
      <c r="C170" s="20"/>
      <c r="D170" s="20"/>
      <c r="E170" s="27"/>
      <c r="F170" s="21"/>
      <c r="G170" s="22"/>
      <c r="H170" s="25"/>
      <c r="I170" s="25"/>
      <c r="J170" s="31"/>
      <c r="K170" s="25"/>
      <c r="M170" s="23"/>
      <c r="N170" s="11"/>
    </row>
    <row r="171" spans="1:14" s="10" customFormat="1" x14ac:dyDescent="0.25">
      <c r="A171" s="19"/>
      <c r="B171" s="20"/>
      <c r="C171" s="20"/>
      <c r="D171" s="20"/>
      <c r="E171" s="27"/>
      <c r="F171" s="21"/>
      <c r="G171" s="22"/>
      <c r="H171" s="25"/>
      <c r="I171" s="25"/>
      <c r="J171" s="31"/>
      <c r="K171" s="25"/>
      <c r="M171" s="23"/>
      <c r="N171" s="11"/>
    </row>
    <row r="172" spans="1:14" s="10" customFormat="1" x14ac:dyDescent="0.25">
      <c r="A172" s="19"/>
      <c r="B172" s="20"/>
      <c r="C172" s="20"/>
      <c r="D172" s="20"/>
      <c r="E172" s="27"/>
      <c r="F172" s="21"/>
      <c r="G172" s="22"/>
      <c r="H172" s="25"/>
      <c r="I172" s="25"/>
      <c r="J172" s="31"/>
      <c r="K172" s="25"/>
      <c r="M172" s="23"/>
      <c r="N172" s="11"/>
    </row>
    <row r="173" spans="1:14" s="10" customFormat="1" x14ac:dyDescent="0.25">
      <c r="A173" s="19"/>
      <c r="B173" s="20"/>
      <c r="C173" s="20"/>
      <c r="D173" s="20"/>
      <c r="E173" s="27"/>
      <c r="F173" s="21"/>
      <c r="G173" s="22"/>
      <c r="H173" s="25"/>
      <c r="I173" s="25"/>
      <c r="J173" s="31"/>
      <c r="K173" s="25"/>
      <c r="M173" s="23"/>
      <c r="N173" s="11"/>
    </row>
    <row r="174" spans="1:14" s="10" customFormat="1" x14ac:dyDescent="0.25">
      <c r="A174" s="19"/>
      <c r="B174" s="20"/>
      <c r="C174" s="20"/>
      <c r="D174" s="20"/>
      <c r="E174" s="27"/>
      <c r="F174" s="21"/>
      <c r="G174" s="22"/>
      <c r="H174" s="25"/>
      <c r="I174" s="25"/>
      <c r="J174" s="31"/>
      <c r="K174" s="25"/>
      <c r="M174" s="23"/>
      <c r="N174" s="11"/>
    </row>
    <row r="175" spans="1:14" s="10" customFormat="1" x14ac:dyDescent="0.25">
      <c r="A175" s="19"/>
      <c r="B175" s="20"/>
      <c r="C175" s="20"/>
      <c r="D175" s="20"/>
      <c r="E175" s="27"/>
      <c r="F175" s="21"/>
      <c r="G175" s="22"/>
      <c r="H175" s="25"/>
      <c r="I175" s="25"/>
      <c r="J175" s="31"/>
      <c r="K175" s="25"/>
      <c r="M175" s="23"/>
      <c r="N175" s="11"/>
    </row>
    <row r="176" spans="1:14" s="10" customFormat="1" x14ac:dyDescent="0.25">
      <c r="A176" s="19"/>
      <c r="B176" s="20"/>
      <c r="C176" s="20"/>
      <c r="D176" s="20"/>
      <c r="E176" s="27"/>
      <c r="F176" s="21"/>
      <c r="G176" s="22"/>
      <c r="H176" s="25"/>
      <c r="I176" s="25"/>
      <c r="J176" s="31"/>
      <c r="K176" s="25"/>
      <c r="M176" s="23"/>
      <c r="N176" s="11"/>
    </row>
    <row r="177" spans="1:14" s="10" customFormat="1" x14ac:dyDescent="0.25">
      <c r="A177" s="19"/>
      <c r="B177" s="20"/>
      <c r="C177" s="20"/>
      <c r="D177" s="20"/>
      <c r="E177" s="27"/>
      <c r="F177" s="21"/>
      <c r="G177" s="22"/>
      <c r="H177" s="25"/>
      <c r="I177" s="25"/>
      <c r="J177" s="31"/>
      <c r="K177" s="25"/>
      <c r="M177" s="23"/>
      <c r="N177" s="11"/>
    </row>
    <row r="178" spans="1:14" s="10" customFormat="1" x14ac:dyDescent="0.25">
      <c r="A178" s="19"/>
      <c r="B178" s="20"/>
      <c r="C178" s="20"/>
      <c r="D178" s="20"/>
      <c r="E178" s="27"/>
      <c r="F178" s="21"/>
      <c r="G178" s="22"/>
      <c r="H178" s="25"/>
      <c r="I178" s="25"/>
      <c r="J178" s="31"/>
      <c r="K178" s="25"/>
      <c r="M178" s="23"/>
      <c r="N178" s="11"/>
    </row>
    <row r="179" spans="1:14" s="10" customFormat="1" x14ac:dyDescent="0.25">
      <c r="A179" s="19"/>
      <c r="B179" s="20"/>
      <c r="C179" s="20"/>
      <c r="D179" s="20"/>
      <c r="E179" s="27"/>
      <c r="F179" s="21"/>
      <c r="G179" s="22"/>
      <c r="H179" s="25"/>
      <c r="I179" s="25"/>
      <c r="J179" s="31"/>
      <c r="K179" s="25"/>
      <c r="M179" s="23"/>
      <c r="N179" s="11"/>
    </row>
    <row r="180" spans="1:14" s="10" customFormat="1" x14ac:dyDescent="0.25">
      <c r="A180" s="19"/>
      <c r="B180" s="20"/>
      <c r="C180" s="20"/>
      <c r="D180" s="20"/>
      <c r="E180" s="27"/>
      <c r="F180" s="21"/>
      <c r="G180" s="22"/>
      <c r="H180" s="25"/>
      <c r="I180" s="25"/>
      <c r="J180" s="31"/>
      <c r="K180" s="25"/>
      <c r="M180" s="23"/>
      <c r="N180" s="11"/>
    </row>
    <row r="181" spans="1:14" s="10" customFormat="1" x14ac:dyDescent="0.25">
      <c r="A181" s="19"/>
      <c r="B181" s="20"/>
      <c r="C181" s="20"/>
      <c r="D181" s="20"/>
      <c r="E181" s="27"/>
      <c r="F181" s="21"/>
      <c r="G181" s="22"/>
      <c r="H181" s="25"/>
      <c r="I181" s="25"/>
      <c r="J181" s="31"/>
      <c r="K181" s="25"/>
      <c r="M181" s="23"/>
      <c r="N181" s="11"/>
    </row>
    <row r="182" spans="1:14" s="10" customFormat="1" x14ac:dyDescent="0.25">
      <c r="A182" s="19"/>
      <c r="B182" s="20"/>
      <c r="C182" s="20"/>
      <c r="D182" s="20"/>
      <c r="E182" s="27"/>
      <c r="F182" s="21"/>
      <c r="G182" s="22"/>
      <c r="H182" s="25"/>
      <c r="I182" s="25"/>
      <c r="J182" s="31"/>
      <c r="K182" s="25"/>
      <c r="M182" s="23"/>
      <c r="N182" s="11"/>
    </row>
    <row r="183" spans="1:14" s="10" customFormat="1" x14ac:dyDescent="0.25">
      <c r="A183" s="19"/>
      <c r="B183" s="20"/>
      <c r="C183" s="20"/>
      <c r="D183" s="20"/>
      <c r="E183" s="27"/>
      <c r="F183" s="21"/>
      <c r="G183" s="22"/>
      <c r="H183" s="25"/>
      <c r="I183" s="25"/>
      <c r="J183" s="31"/>
      <c r="K183" s="25"/>
      <c r="M183" s="23"/>
      <c r="N183" s="11"/>
    </row>
    <row r="184" spans="1:14" s="10" customFormat="1" x14ac:dyDescent="0.25">
      <c r="A184" s="19"/>
      <c r="B184" s="20"/>
      <c r="C184" s="20"/>
      <c r="D184" s="20"/>
      <c r="E184" s="27"/>
      <c r="F184" s="21"/>
      <c r="G184" s="22"/>
      <c r="H184" s="25"/>
      <c r="I184" s="25"/>
      <c r="J184" s="31"/>
      <c r="K184" s="25"/>
      <c r="M184" s="23"/>
      <c r="N184" s="11"/>
    </row>
    <row r="185" spans="1:14" s="10" customFormat="1" x14ac:dyDescent="0.25">
      <c r="A185" s="19"/>
      <c r="B185" s="20"/>
      <c r="C185" s="20"/>
      <c r="D185" s="20"/>
      <c r="E185" s="27"/>
      <c r="F185" s="21"/>
      <c r="G185" s="22"/>
      <c r="H185" s="25"/>
      <c r="I185" s="25"/>
      <c r="J185" s="31"/>
      <c r="K185" s="25"/>
      <c r="M185" s="23"/>
      <c r="N185" s="11"/>
    </row>
    <row r="186" spans="1:14" s="10" customFormat="1" x14ac:dyDescent="0.25">
      <c r="A186" s="19"/>
      <c r="B186" s="20"/>
      <c r="C186" s="20"/>
      <c r="D186" s="20"/>
      <c r="E186" s="27"/>
      <c r="F186" s="21"/>
      <c r="G186" s="22"/>
      <c r="H186" s="25"/>
      <c r="I186" s="25"/>
      <c r="J186" s="31"/>
      <c r="K186" s="25"/>
      <c r="M186" s="23"/>
      <c r="N186" s="11"/>
    </row>
    <row r="187" spans="1:14" s="10" customFormat="1" x14ac:dyDescent="0.25">
      <c r="A187" s="19"/>
      <c r="B187" s="20"/>
      <c r="C187" s="20"/>
      <c r="D187" s="20"/>
      <c r="E187" s="27"/>
      <c r="F187" s="21"/>
      <c r="G187" s="22"/>
      <c r="H187" s="25"/>
      <c r="I187" s="25"/>
      <c r="J187" s="31"/>
      <c r="K187" s="25"/>
      <c r="M187" s="23"/>
      <c r="N187" s="11"/>
    </row>
    <row r="188" spans="1:14" s="10" customFormat="1" x14ac:dyDescent="0.25">
      <c r="A188" s="19"/>
      <c r="B188" s="20"/>
      <c r="C188" s="20"/>
      <c r="D188" s="20"/>
      <c r="E188" s="27"/>
      <c r="F188" s="21"/>
      <c r="G188" s="22"/>
      <c r="H188" s="25"/>
      <c r="I188" s="25"/>
      <c r="J188" s="31"/>
      <c r="K188" s="25"/>
      <c r="M188" s="23"/>
      <c r="N188" s="11"/>
    </row>
    <row r="189" spans="1:14" s="10" customFormat="1" x14ac:dyDescent="0.25">
      <c r="A189" s="19"/>
      <c r="B189" s="20"/>
      <c r="C189" s="20"/>
      <c r="D189" s="20"/>
      <c r="E189" s="27"/>
      <c r="F189" s="21"/>
      <c r="G189" s="22"/>
      <c r="H189" s="25"/>
      <c r="I189" s="25"/>
      <c r="J189" s="31"/>
      <c r="K189" s="25"/>
      <c r="M189" s="23"/>
      <c r="N189" s="11"/>
    </row>
    <row r="190" spans="1:14" s="10" customFormat="1" x14ac:dyDescent="0.25">
      <c r="A190" s="19"/>
      <c r="B190" s="20"/>
      <c r="C190" s="20"/>
      <c r="D190" s="20"/>
      <c r="E190" s="27"/>
      <c r="F190" s="21"/>
      <c r="G190" s="22"/>
      <c r="H190" s="25"/>
      <c r="I190" s="25"/>
      <c r="J190" s="31"/>
      <c r="K190" s="25"/>
      <c r="M190" s="23"/>
      <c r="N190" s="11"/>
    </row>
    <row r="191" spans="1:14" s="10" customFormat="1" x14ac:dyDescent="0.25">
      <c r="A191" s="19"/>
      <c r="B191" s="20"/>
      <c r="C191" s="20"/>
      <c r="D191" s="20"/>
      <c r="E191" s="27"/>
      <c r="F191" s="21"/>
      <c r="G191" s="22"/>
      <c r="H191" s="25"/>
      <c r="I191" s="25"/>
      <c r="J191" s="31"/>
      <c r="K191" s="25"/>
      <c r="M191" s="23"/>
      <c r="N191" s="11"/>
    </row>
    <row r="192" spans="1:14" s="10" customFormat="1" x14ac:dyDescent="0.25">
      <c r="A192" s="19"/>
      <c r="B192" s="20"/>
      <c r="C192" s="20"/>
      <c r="D192" s="20"/>
      <c r="E192" s="27"/>
      <c r="F192" s="21"/>
      <c r="G192" s="22"/>
      <c r="H192" s="25"/>
      <c r="I192" s="25"/>
      <c r="J192" s="31"/>
      <c r="K192" s="25"/>
      <c r="M192" s="23"/>
      <c r="N192" s="11"/>
    </row>
    <row r="193" spans="1:14" s="10" customFormat="1" x14ac:dyDescent="0.25">
      <c r="A193" s="19"/>
      <c r="B193" s="20"/>
      <c r="C193" s="20"/>
      <c r="D193" s="20"/>
      <c r="E193" s="27"/>
      <c r="F193" s="21"/>
      <c r="G193" s="22"/>
      <c r="H193" s="25"/>
      <c r="I193" s="25"/>
      <c r="J193" s="31"/>
      <c r="K193" s="25"/>
      <c r="M193" s="23"/>
      <c r="N193" s="11"/>
    </row>
    <row r="194" spans="1:14" s="10" customFormat="1" x14ac:dyDescent="0.25">
      <c r="A194" s="19"/>
      <c r="B194" s="20"/>
      <c r="C194" s="20"/>
      <c r="D194" s="20"/>
      <c r="E194" s="27"/>
      <c r="F194" s="21"/>
      <c r="G194" s="22"/>
      <c r="H194" s="25"/>
      <c r="I194" s="25"/>
      <c r="J194" s="31"/>
      <c r="K194" s="25"/>
      <c r="M194" s="23"/>
      <c r="N194" s="11"/>
    </row>
    <row r="195" spans="1:14" s="10" customFormat="1" x14ac:dyDescent="0.25">
      <c r="A195" s="19"/>
      <c r="B195" s="20"/>
      <c r="C195" s="20"/>
      <c r="D195" s="20"/>
      <c r="E195" s="27"/>
      <c r="F195" s="21"/>
      <c r="G195" s="22"/>
      <c r="H195" s="25"/>
      <c r="I195" s="25"/>
      <c r="J195" s="31"/>
      <c r="K195" s="25"/>
      <c r="M195" s="23"/>
      <c r="N195" s="11"/>
    </row>
    <row r="196" spans="1:14" s="10" customFormat="1" x14ac:dyDescent="0.25">
      <c r="A196" s="19"/>
      <c r="B196" s="20"/>
      <c r="C196" s="20"/>
      <c r="D196" s="20"/>
      <c r="E196" s="27"/>
      <c r="F196" s="21"/>
      <c r="G196" s="22"/>
      <c r="H196" s="25"/>
      <c r="I196" s="25"/>
      <c r="J196" s="31"/>
      <c r="K196" s="25"/>
      <c r="M196" s="23"/>
      <c r="N196" s="11"/>
    </row>
    <row r="197" spans="1:14" s="10" customFormat="1" x14ac:dyDescent="0.25">
      <c r="A197" s="19"/>
      <c r="B197" s="20"/>
      <c r="C197" s="20"/>
      <c r="D197" s="20"/>
      <c r="E197" s="27"/>
      <c r="F197" s="21"/>
      <c r="G197" s="22"/>
      <c r="H197" s="25"/>
      <c r="I197" s="25"/>
      <c r="J197" s="31"/>
      <c r="K197" s="25"/>
      <c r="M197" s="23"/>
      <c r="N197" s="11"/>
    </row>
    <row r="198" spans="1:14" s="10" customFormat="1" x14ac:dyDescent="0.25">
      <c r="A198" s="19"/>
      <c r="B198" s="20"/>
      <c r="C198" s="20"/>
      <c r="D198" s="20"/>
      <c r="E198" s="27"/>
      <c r="F198" s="21"/>
      <c r="G198" s="22"/>
      <c r="H198" s="25"/>
      <c r="I198" s="25"/>
      <c r="J198" s="31"/>
      <c r="K198" s="25"/>
      <c r="M198" s="23"/>
      <c r="N198" s="11"/>
    </row>
    <row r="199" spans="1:14" s="10" customFormat="1" x14ac:dyDescent="0.25">
      <c r="A199" s="19"/>
      <c r="B199" s="20"/>
      <c r="C199" s="20"/>
      <c r="D199" s="20"/>
      <c r="E199" s="27"/>
      <c r="F199" s="21"/>
      <c r="G199" s="22"/>
      <c r="H199" s="25"/>
      <c r="I199" s="25"/>
      <c r="J199" s="31"/>
      <c r="K199" s="25"/>
      <c r="M199" s="23"/>
      <c r="N199" s="11"/>
    </row>
    <row r="200" spans="1:14" s="10" customFormat="1" x14ac:dyDescent="0.25">
      <c r="A200" s="19"/>
      <c r="B200" s="20"/>
      <c r="C200" s="20"/>
      <c r="D200" s="20"/>
      <c r="E200" s="27"/>
      <c r="F200" s="21"/>
      <c r="G200" s="22"/>
      <c r="H200" s="25"/>
      <c r="I200" s="25"/>
      <c r="J200" s="31"/>
      <c r="K200" s="25"/>
      <c r="M200" s="23"/>
      <c r="N200" s="11"/>
    </row>
    <row r="201" spans="1:14" s="10" customFormat="1" x14ac:dyDescent="0.25">
      <c r="A201" s="19"/>
      <c r="B201" s="20"/>
      <c r="C201" s="20"/>
      <c r="D201" s="20"/>
      <c r="E201" s="27"/>
      <c r="F201" s="21"/>
      <c r="G201" s="22"/>
      <c r="H201" s="25"/>
      <c r="I201" s="25"/>
      <c r="J201" s="31"/>
      <c r="K201" s="25"/>
      <c r="M201" s="23"/>
      <c r="N201" s="11"/>
    </row>
    <row r="202" spans="1:14" s="10" customFormat="1" x14ac:dyDescent="0.25">
      <c r="A202" s="19"/>
      <c r="B202" s="20"/>
      <c r="C202" s="20"/>
      <c r="D202" s="20"/>
      <c r="E202" s="27"/>
      <c r="F202" s="21"/>
      <c r="G202" s="22"/>
      <c r="H202" s="25"/>
      <c r="I202" s="25"/>
      <c r="J202" s="31"/>
      <c r="K202" s="25"/>
      <c r="M202" s="23"/>
      <c r="N202" s="11"/>
    </row>
    <row r="203" spans="1:14" s="10" customFormat="1" x14ac:dyDescent="0.25">
      <c r="A203" s="19"/>
      <c r="B203" s="20"/>
      <c r="C203" s="20"/>
      <c r="D203" s="20"/>
      <c r="E203" s="27"/>
      <c r="F203" s="21"/>
      <c r="G203" s="22"/>
      <c r="H203" s="25"/>
      <c r="I203" s="25"/>
      <c r="J203" s="31"/>
      <c r="K203" s="25"/>
      <c r="M203" s="23"/>
      <c r="N203" s="11"/>
    </row>
    <row r="204" spans="1:14" s="10" customFormat="1" x14ac:dyDescent="0.25">
      <c r="A204" s="19"/>
      <c r="B204" s="20"/>
      <c r="C204" s="20"/>
      <c r="D204" s="20"/>
      <c r="E204" s="27"/>
      <c r="F204" s="21"/>
      <c r="G204" s="22"/>
      <c r="H204" s="25"/>
      <c r="I204" s="25"/>
      <c r="J204" s="31"/>
      <c r="K204" s="25"/>
      <c r="M204" s="23"/>
      <c r="N204" s="11"/>
    </row>
    <row r="205" spans="1:14" s="10" customFormat="1" x14ac:dyDescent="0.25">
      <c r="A205" s="19"/>
      <c r="B205" s="20"/>
      <c r="C205" s="20"/>
      <c r="D205" s="20"/>
      <c r="E205" s="27"/>
      <c r="F205" s="21"/>
      <c r="G205" s="22"/>
      <c r="H205" s="25"/>
      <c r="I205" s="25"/>
      <c r="J205" s="31"/>
      <c r="K205" s="25"/>
      <c r="M205" s="23"/>
      <c r="N205" s="11"/>
    </row>
    <row r="206" spans="1:14" s="10" customFormat="1" x14ac:dyDescent="0.25">
      <c r="A206" s="19"/>
      <c r="B206" s="20"/>
      <c r="C206" s="20"/>
      <c r="D206" s="20"/>
      <c r="E206" s="27"/>
      <c r="F206" s="21"/>
      <c r="G206" s="22"/>
      <c r="H206" s="25"/>
      <c r="I206" s="25"/>
      <c r="J206" s="31"/>
      <c r="K206" s="25"/>
      <c r="M206" s="23"/>
      <c r="N206" s="11"/>
    </row>
    <row r="207" spans="1:14" s="10" customFormat="1" x14ac:dyDescent="0.25">
      <c r="A207" s="19"/>
      <c r="B207" s="20"/>
      <c r="C207" s="20"/>
      <c r="D207" s="20"/>
      <c r="E207" s="27"/>
      <c r="F207" s="21"/>
      <c r="G207" s="22"/>
      <c r="H207" s="25"/>
      <c r="I207" s="25"/>
      <c r="J207" s="31"/>
      <c r="K207" s="25"/>
      <c r="M207" s="23"/>
      <c r="N207" s="11"/>
    </row>
    <row r="208" spans="1:14" s="10" customFormat="1" x14ac:dyDescent="0.25">
      <c r="A208" s="19"/>
      <c r="B208" s="20"/>
      <c r="C208" s="20"/>
      <c r="D208" s="20"/>
      <c r="E208" s="27"/>
      <c r="F208" s="21"/>
      <c r="G208" s="22"/>
      <c r="H208" s="25"/>
      <c r="I208" s="25"/>
      <c r="J208" s="31"/>
      <c r="K208" s="25"/>
      <c r="M208" s="23"/>
      <c r="N208" s="11"/>
    </row>
    <row r="209" spans="1:14" s="10" customFormat="1" x14ac:dyDescent="0.25">
      <c r="A209" s="19"/>
      <c r="B209" s="20"/>
      <c r="C209" s="20"/>
      <c r="D209" s="20"/>
      <c r="E209" s="27"/>
      <c r="F209" s="21"/>
      <c r="G209" s="22"/>
      <c r="H209" s="25"/>
      <c r="I209" s="25"/>
      <c r="J209" s="31"/>
      <c r="K209" s="25"/>
      <c r="M209" s="23"/>
      <c r="N209" s="11"/>
    </row>
    <row r="210" spans="1:14" s="10" customFormat="1" x14ac:dyDescent="0.25">
      <c r="A210" s="19"/>
      <c r="B210" s="20"/>
      <c r="C210" s="20"/>
      <c r="D210" s="20"/>
      <c r="E210" s="27"/>
      <c r="F210" s="21"/>
      <c r="G210" s="22"/>
      <c r="H210" s="25"/>
      <c r="I210" s="25"/>
      <c r="J210" s="31"/>
      <c r="K210" s="25"/>
      <c r="M210" s="23"/>
      <c r="N210" s="11"/>
    </row>
    <row r="211" spans="1:14" s="10" customFormat="1" x14ac:dyDescent="0.25">
      <c r="A211" s="19"/>
      <c r="B211" s="20"/>
      <c r="C211" s="20"/>
      <c r="D211" s="20"/>
      <c r="E211" s="27"/>
      <c r="F211" s="21"/>
      <c r="G211" s="22"/>
      <c r="H211" s="25"/>
      <c r="I211" s="25"/>
      <c r="J211" s="31"/>
      <c r="K211" s="25"/>
      <c r="M211" s="23"/>
      <c r="N211" s="11"/>
    </row>
    <row r="212" spans="1:14" s="10" customFormat="1" x14ac:dyDescent="0.25">
      <c r="A212" s="19"/>
      <c r="B212" s="20"/>
      <c r="C212" s="20"/>
      <c r="D212" s="20"/>
      <c r="E212" s="27"/>
      <c r="F212" s="21"/>
      <c r="G212" s="22"/>
      <c r="H212" s="25"/>
      <c r="I212" s="25"/>
      <c r="J212" s="31"/>
      <c r="K212" s="25"/>
      <c r="M212" s="23"/>
      <c r="N212" s="11"/>
    </row>
    <row r="213" spans="1:14" s="10" customFormat="1" x14ac:dyDescent="0.25">
      <c r="A213" s="19"/>
      <c r="B213" s="20"/>
      <c r="C213" s="20"/>
      <c r="D213" s="20"/>
      <c r="E213" s="27"/>
      <c r="F213" s="21"/>
      <c r="G213" s="22"/>
      <c r="H213" s="25"/>
      <c r="I213" s="25"/>
      <c r="J213" s="31"/>
      <c r="K213" s="25"/>
      <c r="M213" s="23"/>
      <c r="N213" s="11"/>
    </row>
    <row r="214" spans="1:14" s="10" customFormat="1" x14ac:dyDescent="0.25">
      <c r="A214" s="19"/>
      <c r="B214" s="20"/>
      <c r="C214" s="20"/>
      <c r="D214" s="20"/>
      <c r="E214" s="27"/>
      <c r="F214" s="21"/>
      <c r="G214" s="22"/>
      <c r="H214" s="25"/>
      <c r="I214" s="25"/>
      <c r="J214" s="31"/>
      <c r="K214" s="25"/>
      <c r="M214" s="23"/>
      <c r="N214" s="11"/>
    </row>
    <row r="215" spans="1:14" s="10" customFormat="1" x14ac:dyDescent="0.25">
      <c r="A215" s="19"/>
      <c r="B215" s="20"/>
      <c r="C215" s="20"/>
      <c r="D215" s="20"/>
      <c r="E215" s="27"/>
      <c r="F215" s="21"/>
      <c r="G215" s="22"/>
      <c r="H215" s="25"/>
      <c r="I215" s="25"/>
      <c r="J215" s="31"/>
      <c r="K215" s="25"/>
      <c r="M215" s="23"/>
      <c r="N215" s="11"/>
    </row>
    <row r="216" spans="1:14" s="10" customFormat="1" x14ac:dyDescent="0.25">
      <c r="A216" s="19"/>
      <c r="B216" s="20"/>
      <c r="C216" s="20"/>
      <c r="D216" s="20"/>
      <c r="E216" s="27"/>
      <c r="F216" s="21"/>
      <c r="G216" s="22"/>
      <c r="H216" s="25"/>
      <c r="I216" s="25"/>
      <c r="J216" s="31"/>
      <c r="K216" s="25"/>
      <c r="M216" s="23"/>
      <c r="N216" s="11"/>
    </row>
    <row r="217" spans="1:14" s="10" customFormat="1" x14ac:dyDescent="0.25">
      <c r="A217" s="19"/>
      <c r="B217" s="20"/>
      <c r="C217" s="20"/>
      <c r="D217" s="20"/>
      <c r="E217" s="27"/>
      <c r="F217" s="21"/>
      <c r="G217" s="22"/>
      <c r="H217" s="25"/>
      <c r="I217" s="25"/>
      <c r="J217" s="31"/>
      <c r="K217" s="25"/>
      <c r="M217" s="23"/>
      <c r="N217" s="11"/>
    </row>
    <row r="218" spans="1:14" s="10" customFormat="1" x14ac:dyDescent="0.25">
      <c r="A218" s="19"/>
      <c r="B218" s="20"/>
      <c r="C218" s="20"/>
      <c r="D218" s="20"/>
      <c r="E218" s="27"/>
      <c r="F218" s="21"/>
      <c r="G218" s="22"/>
      <c r="H218" s="25"/>
      <c r="I218" s="25"/>
      <c r="J218" s="31"/>
      <c r="K218" s="25"/>
      <c r="M218" s="23"/>
      <c r="N218" s="11"/>
    </row>
    <row r="219" spans="1:14" s="10" customFormat="1" x14ac:dyDescent="0.25">
      <c r="A219" s="19"/>
      <c r="B219" s="20"/>
      <c r="C219" s="20"/>
      <c r="D219" s="20"/>
      <c r="E219" s="27"/>
      <c r="F219" s="21"/>
      <c r="G219" s="22"/>
      <c r="H219" s="25"/>
      <c r="I219" s="25"/>
      <c r="J219" s="31"/>
      <c r="K219" s="25"/>
      <c r="M219" s="23"/>
      <c r="N219" s="11"/>
    </row>
    <row r="220" spans="1:14" s="10" customFormat="1" x14ac:dyDescent="0.25">
      <c r="A220" s="19"/>
      <c r="B220" s="20"/>
      <c r="C220" s="20"/>
      <c r="D220" s="20"/>
      <c r="E220" s="27"/>
      <c r="F220" s="21"/>
      <c r="G220" s="22"/>
      <c r="H220" s="25"/>
      <c r="I220" s="25"/>
      <c r="J220" s="31"/>
      <c r="K220" s="25"/>
      <c r="M220" s="23"/>
      <c r="N220" s="11"/>
    </row>
    <row r="221" spans="1:14" s="10" customFormat="1" x14ac:dyDescent="0.25">
      <c r="A221" s="19"/>
      <c r="B221" s="20"/>
      <c r="C221" s="20"/>
      <c r="D221" s="20"/>
      <c r="E221" s="27"/>
      <c r="F221" s="21"/>
      <c r="G221" s="22"/>
      <c r="H221" s="25"/>
      <c r="I221" s="25"/>
      <c r="J221" s="31"/>
      <c r="K221" s="25"/>
      <c r="M221" s="23"/>
      <c r="N221" s="11"/>
    </row>
    <row r="222" spans="1:14" s="10" customFormat="1" x14ac:dyDescent="0.25">
      <c r="A222" s="19"/>
      <c r="B222" s="20"/>
      <c r="C222" s="20"/>
      <c r="D222" s="20"/>
      <c r="E222" s="27"/>
      <c r="F222" s="21"/>
      <c r="G222" s="22"/>
      <c r="H222" s="25"/>
      <c r="I222" s="25"/>
      <c r="J222" s="31"/>
      <c r="K222" s="25"/>
      <c r="M222" s="23"/>
      <c r="N222" s="11"/>
    </row>
    <row r="223" spans="1:14" s="10" customFormat="1" x14ac:dyDescent="0.25">
      <c r="A223" s="19"/>
      <c r="B223" s="20"/>
      <c r="C223" s="20"/>
      <c r="D223" s="20"/>
      <c r="E223" s="27"/>
      <c r="F223" s="21"/>
      <c r="G223" s="22"/>
      <c r="H223" s="25"/>
      <c r="I223" s="25"/>
      <c r="J223" s="31"/>
      <c r="K223" s="25"/>
      <c r="M223" s="23"/>
      <c r="N223" s="11"/>
    </row>
    <row r="224" spans="1:14" s="10" customFormat="1" x14ac:dyDescent="0.25">
      <c r="A224" s="19"/>
      <c r="B224" s="20"/>
      <c r="C224" s="20"/>
      <c r="D224" s="20"/>
      <c r="E224" s="27"/>
      <c r="F224" s="21"/>
      <c r="G224" s="22"/>
      <c r="H224" s="25"/>
      <c r="I224" s="25"/>
      <c r="J224" s="31"/>
      <c r="K224" s="25"/>
      <c r="M224" s="23"/>
      <c r="N224" s="11"/>
    </row>
    <row r="225" spans="1:14" s="10" customFormat="1" x14ac:dyDescent="0.25">
      <c r="A225" s="19"/>
      <c r="B225" s="20"/>
      <c r="C225" s="20"/>
      <c r="D225" s="20"/>
      <c r="E225" s="27"/>
      <c r="F225" s="21"/>
      <c r="G225" s="22"/>
      <c r="H225" s="25"/>
      <c r="I225" s="25"/>
      <c r="J225" s="31"/>
      <c r="K225" s="25"/>
      <c r="M225" s="23"/>
      <c r="N225" s="11"/>
    </row>
    <row r="226" spans="1:14" s="10" customFormat="1" x14ac:dyDescent="0.25">
      <c r="A226" s="19"/>
      <c r="B226" s="20"/>
      <c r="C226" s="20"/>
      <c r="D226" s="20"/>
      <c r="E226" s="27"/>
      <c r="F226" s="21"/>
      <c r="G226" s="22"/>
      <c r="H226" s="25"/>
      <c r="I226" s="25"/>
      <c r="J226" s="31"/>
      <c r="K226" s="25"/>
      <c r="M226" s="23"/>
      <c r="N226" s="11"/>
    </row>
    <row r="227" spans="1:14" s="10" customFormat="1" x14ac:dyDescent="0.25">
      <c r="A227" s="19"/>
      <c r="B227" s="20"/>
      <c r="C227" s="20"/>
      <c r="D227" s="20"/>
      <c r="E227" s="27"/>
      <c r="F227" s="21"/>
      <c r="G227" s="22"/>
      <c r="H227" s="25"/>
      <c r="I227" s="25"/>
      <c r="J227" s="31"/>
      <c r="K227" s="25"/>
      <c r="M227" s="23"/>
      <c r="N227" s="11"/>
    </row>
    <row r="228" spans="1:14" s="10" customFormat="1" x14ac:dyDescent="0.25">
      <c r="A228" s="19"/>
      <c r="B228" s="20"/>
      <c r="C228" s="20"/>
      <c r="D228" s="20"/>
      <c r="E228" s="27"/>
      <c r="F228" s="21"/>
      <c r="G228" s="22"/>
      <c r="H228" s="25"/>
      <c r="I228" s="25"/>
      <c r="J228" s="31"/>
      <c r="K228" s="25"/>
      <c r="M228" s="23"/>
      <c r="N228" s="11"/>
    </row>
    <row r="229" spans="1:14" s="10" customFormat="1" x14ac:dyDescent="0.25">
      <c r="A229" s="19"/>
      <c r="B229" s="20"/>
      <c r="C229" s="20"/>
      <c r="D229" s="20"/>
      <c r="E229" s="27"/>
      <c r="F229" s="21"/>
      <c r="G229" s="22"/>
      <c r="H229" s="25"/>
      <c r="I229" s="25"/>
      <c r="J229" s="31"/>
      <c r="K229" s="25"/>
      <c r="M229" s="23"/>
      <c r="N229" s="11"/>
    </row>
    <row r="230" spans="1:14" s="10" customFormat="1" x14ac:dyDescent="0.25">
      <c r="A230" s="19"/>
      <c r="B230" s="20"/>
      <c r="C230" s="20"/>
      <c r="D230" s="20"/>
      <c r="E230" s="27"/>
      <c r="F230" s="21"/>
      <c r="G230" s="22"/>
      <c r="H230" s="25"/>
      <c r="I230" s="25"/>
      <c r="J230" s="31"/>
      <c r="K230" s="25"/>
      <c r="M230" s="23"/>
      <c r="N230" s="11"/>
    </row>
    <row r="231" spans="1:14" s="10" customFormat="1" x14ac:dyDescent="0.25">
      <c r="A231" s="19"/>
      <c r="B231" s="20"/>
      <c r="C231" s="20"/>
      <c r="D231" s="20"/>
      <c r="E231" s="27"/>
      <c r="F231" s="21"/>
      <c r="G231" s="22"/>
      <c r="H231" s="25"/>
      <c r="I231" s="25"/>
      <c r="J231" s="31"/>
      <c r="K231" s="25"/>
      <c r="M231" s="23"/>
      <c r="N231" s="11"/>
    </row>
    <row r="232" spans="1:14" s="10" customFormat="1" x14ac:dyDescent="0.25">
      <c r="A232" s="19"/>
      <c r="B232" s="20"/>
      <c r="C232" s="20"/>
      <c r="D232" s="20"/>
      <c r="E232" s="27"/>
      <c r="F232" s="21"/>
      <c r="G232" s="22"/>
      <c r="H232" s="25"/>
      <c r="I232" s="25"/>
      <c r="J232" s="31"/>
      <c r="K232" s="25"/>
      <c r="M232" s="23"/>
      <c r="N232" s="11"/>
    </row>
    <row r="233" spans="1:14" s="10" customFormat="1" x14ac:dyDescent="0.25">
      <c r="A233" s="19"/>
      <c r="B233" s="20"/>
      <c r="C233" s="20"/>
      <c r="D233" s="20"/>
      <c r="E233" s="27"/>
      <c r="F233" s="21"/>
      <c r="G233" s="22"/>
      <c r="H233" s="25"/>
      <c r="I233" s="25"/>
      <c r="J233" s="31"/>
      <c r="K233" s="25"/>
      <c r="M233" s="23"/>
      <c r="N233" s="11"/>
    </row>
    <row r="234" spans="1:14" s="10" customFormat="1" x14ac:dyDescent="0.25">
      <c r="A234" s="19"/>
      <c r="B234" s="20"/>
      <c r="C234" s="20"/>
      <c r="D234" s="20"/>
      <c r="E234" s="27"/>
      <c r="F234" s="21"/>
      <c r="G234" s="22"/>
      <c r="H234" s="25"/>
      <c r="I234" s="25"/>
      <c r="J234" s="31"/>
      <c r="K234" s="25"/>
      <c r="M234" s="23"/>
      <c r="N234" s="11"/>
    </row>
    <row r="235" spans="1:14" s="10" customFormat="1" x14ac:dyDescent="0.25">
      <c r="A235" s="19"/>
      <c r="B235" s="20"/>
      <c r="C235" s="20"/>
      <c r="D235" s="20"/>
      <c r="E235" s="27"/>
      <c r="F235" s="21"/>
      <c r="G235" s="22"/>
      <c r="H235" s="25"/>
      <c r="I235" s="25"/>
      <c r="J235" s="31"/>
      <c r="K235" s="25"/>
      <c r="M235" s="23"/>
      <c r="N235" s="11"/>
    </row>
    <row r="236" spans="1:14" s="10" customFormat="1" x14ac:dyDescent="0.25">
      <c r="A236" s="19"/>
      <c r="B236" s="20"/>
      <c r="C236" s="20"/>
      <c r="D236" s="20"/>
      <c r="E236" s="27"/>
      <c r="F236" s="21"/>
      <c r="G236" s="22"/>
      <c r="H236" s="25"/>
      <c r="I236" s="25"/>
      <c r="J236" s="31"/>
      <c r="K236" s="25"/>
      <c r="M236" s="23"/>
      <c r="N236" s="11"/>
    </row>
    <row r="237" spans="1:14" s="10" customFormat="1" x14ac:dyDescent="0.25">
      <c r="A237" s="19"/>
      <c r="B237" s="20"/>
      <c r="C237" s="20"/>
      <c r="D237" s="20"/>
      <c r="E237" s="27"/>
      <c r="F237" s="21"/>
      <c r="G237" s="22"/>
      <c r="H237" s="25"/>
      <c r="I237" s="25"/>
      <c r="J237" s="31"/>
      <c r="K237" s="25"/>
      <c r="M237" s="23"/>
      <c r="N237" s="11"/>
    </row>
    <row r="238" spans="1:14" s="10" customFormat="1" x14ac:dyDescent="0.25">
      <c r="A238" s="19"/>
      <c r="B238" s="20"/>
      <c r="C238" s="20"/>
      <c r="D238" s="20"/>
      <c r="E238" s="27"/>
      <c r="F238" s="21"/>
      <c r="G238" s="22"/>
      <c r="H238" s="25"/>
      <c r="I238" s="25"/>
      <c r="J238" s="31"/>
      <c r="K238" s="25"/>
      <c r="M238" s="23"/>
      <c r="N238" s="11"/>
    </row>
    <row r="239" spans="1:14" s="10" customFormat="1" x14ac:dyDescent="0.25">
      <c r="A239" s="19"/>
      <c r="B239" s="20"/>
      <c r="C239" s="20"/>
      <c r="D239" s="20"/>
      <c r="E239" s="27"/>
      <c r="F239" s="21"/>
      <c r="G239" s="22"/>
      <c r="H239" s="25"/>
      <c r="I239" s="25"/>
      <c r="J239" s="31"/>
      <c r="K239" s="25"/>
      <c r="M239" s="23"/>
      <c r="N239" s="11"/>
    </row>
    <row r="240" spans="1:14" s="10" customFormat="1" x14ac:dyDescent="0.25">
      <c r="A240" s="19"/>
      <c r="B240" s="20"/>
      <c r="C240" s="20"/>
      <c r="D240" s="20"/>
      <c r="E240" s="27"/>
      <c r="F240" s="21"/>
      <c r="G240" s="22"/>
      <c r="H240" s="25"/>
      <c r="I240" s="25"/>
      <c r="J240" s="31"/>
      <c r="K240" s="25"/>
      <c r="M240" s="23"/>
      <c r="N240" s="11"/>
    </row>
    <row r="241" spans="1:14" s="10" customFormat="1" x14ac:dyDescent="0.25">
      <c r="A241" s="19"/>
      <c r="B241" s="20"/>
      <c r="C241" s="20"/>
      <c r="D241" s="20"/>
      <c r="E241" s="27"/>
      <c r="F241" s="21"/>
      <c r="G241" s="22"/>
      <c r="H241" s="25"/>
      <c r="I241" s="25"/>
      <c r="J241" s="31"/>
      <c r="K241" s="25"/>
      <c r="M241" s="23"/>
      <c r="N241" s="11"/>
    </row>
    <row r="242" spans="1:14" s="10" customFormat="1" x14ac:dyDescent="0.25">
      <c r="A242" s="19"/>
      <c r="B242" s="20"/>
      <c r="C242" s="20"/>
      <c r="D242" s="20"/>
      <c r="E242" s="27"/>
      <c r="F242" s="21"/>
      <c r="G242" s="22"/>
      <c r="H242" s="25"/>
      <c r="I242" s="25"/>
      <c r="J242" s="31"/>
      <c r="K242" s="25"/>
      <c r="M242" s="23"/>
      <c r="N242" s="11"/>
    </row>
    <row r="243" spans="1:14" s="10" customFormat="1" x14ac:dyDescent="0.25">
      <c r="A243" s="19"/>
      <c r="B243" s="20"/>
      <c r="C243" s="20"/>
      <c r="D243" s="20"/>
      <c r="E243" s="27"/>
      <c r="F243" s="21"/>
      <c r="G243" s="22"/>
      <c r="H243" s="25"/>
      <c r="I243" s="25"/>
      <c r="J243" s="31"/>
      <c r="K243" s="25"/>
      <c r="M243" s="23"/>
      <c r="N243" s="11"/>
    </row>
    <row r="244" spans="1:14" s="10" customFormat="1" x14ac:dyDescent="0.25">
      <c r="A244" s="19"/>
      <c r="B244" s="20"/>
      <c r="C244" s="20"/>
      <c r="D244" s="20"/>
      <c r="E244" s="27"/>
      <c r="F244" s="21"/>
      <c r="G244" s="22"/>
      <c r="H244" s="25"/>
      <c r="I244" s="25"/>
      <c r="J244" s="31"/>
      <c r="K244" s="25"/>
      <c r="M244" s="23"/>
      <c r="N244" s="11"/>
    </row>
    <row r="245" spans="1:14" s="10" customFormat="1" x14ac:dyDescent="0.25">
      <c r="A245" s="19"/>
      <c r="B245" s="20"/>
      <c r="C245" s="20"/>
      <c r="D245" s="20"/>
      <c r="E245" s="27"/>
      <c r="F245" s="21"/>
      <c r="G245" s="22"/>
      <c r="H245" s="25"/>
      <c r="I245" s="25"/>
      <c r="J245" s="31"/>
      <c r="K245" s="25"/>
      <c r="M245" s="23"/>
      <c r="N245" s="11"/>
    </row>
    <row r="246" spans="1:14" s="10" customFormat="1" x14ac:dyDescent="0.25">
      <c r="A246" s="19"/>
      <c r="B246" s="20"/>
      <c r="C246" s="20"/>
      <c r="D246" s="20"/>
      <c r="E246" s="27"/>
      <c r="F246" s="21"/>
      <c r="G246" s="22"/>
      <c r="H246" s="25"/>
      <c r="I246" s="25"/>
      <c r="J246" s="31"/>
      <c r="K246" s="25"/>
      <c r="M246" s="23"/>
      <c r="N246" s="11"/>
    </row>
    <row r="247" spans="1:14" s="10" customFormat="1" x14ac:dyDescent="0.25">
      <c r="A247" s="19"/>
      <c r="B247" s="20"/>
      <c r="C247" s="20"/>
      <c r="D247" s="20"/>
      <c r="E247" s="27"/>
      <c r="F247" s="21"/>
      <c r="G247" s="22"/>
      <c r="H247" s="25"/>
      <c r="I247" s="25"/>
      <c r="J247" s="31"/>
      <c r="K247" s="25"/>
      <c r="M247" s="23"/>
      <c r="N247" s="11"/>
    </row>
    <row r="248" spans="1:14" s="10" customFormat="1" x14ac:dyDescent="0.25">
      <c r="A248" s="19"/>
      <c r="B248" s="20"/>
      <c r="C248" s="20"/>
      <c r="D248" s="20"/>
      <c r="E248" s="27"/>
      <c r="F248" s="21"/>
      <c r="G248" s="22"/>
      <c r="H248" s="25"/>
      <c r="I248" s="25"/>
      <c r="J248" s="31"/>
      <c r="K248" s="25"/>
      <c r="M248" s="23"/>
      <c r="N248" s="11"/>
    </row>
    <row r="249" spans="1:14" s="10" customFormat="1" x14ac:dyDescent="0.25">
      <c r="A249" s="19"/>
      <c r="B249" s="20"/>
      <c r="C249" s="20"/>
      <c r="D249" s="20"/>
      <c r="E249" s="27"/>
      <c r="F249" s="21"/>
      <c r="G249" s="22"/>
      <c r="H249" s="25"/>
      <c r="I249" s="25"/>
      <c r="J249" s="31"/>
      <c r="K249" s="25"/>
      <c r="M249" s="23"/>
      <c r="N249" s="11"/>
    </row>
  </sheetData>
  <autoFilter ref="A1:P61" xr:uid="{00000000-0009-0000-0000-000001000000}">
    <sortState xmlns:xlrd2="http://schemas.microsoft.com/office/spreadsheetml/2017/richdata2" ref="A2:O80">
      <sortCondition ref="F1:F11"/>
    </sortState>
  </autoFilter>
  <conditionalFormatting sqref="E250:E1048576 E1:E3 E66 E70 E74 E78 E82 E86 E90 E94 E98 E102 E106 E110 E114 E118 E122 E126 E130 E134 E138 E142 E146 E150 E154 E158 E162 E166 E170">
    <cfRule type="duplicateValues" dxfId="42" priority="39"/>
  </conditionalFormatting>
  <conditionalFormatting sqref="E67 E4 E71 E75 E79 E83 E87 E91 E95 E99 E103 E107 E111 E115 E119 E123 E127 E131 E135 E139 E143 E147 E151 E155 E159 E163 E167 E171">
    <cfRule type="duplicateValues" dxfId="41" priority="37"/>
  </conditionalFormatting>
  <conditionalFormatting sqref="E68:E69 E72:E73 E76:E77 E80:E81 E84:E85 E88:E89 E92:E93 E96:E97 E100:E101 E104:E105 E108:E109 E112:E113 E116:E117 E120:E121 E124:E125 E128:E129 E132:E133 E136:E137 E140:E141 E144:E145 E148:E149 E152:E153 E156:E157 E160:E161 E164:E165 E168:E169 E172">
    <cfRule type="duplicateValues" dxfId="40" priority="35"/>
  </conditionalFormatting>
  <conditionalFormatting sqref="B3:D3">
    <cfRule type="beginsWith" dxfId="39" priority="40" operator="beginsWith" text="[K_">
      <formula>LEFT(#REF!,LEN("[K_"))="[K_"</formula>
    </cfRule>
  </conditionalFormatting>
  <conditionalFormatting sqref="B4:D4">
    <cfRule type="beginsWith" dxfId="38" priority="38" operator="beginsWith" text="[K_">
      <formula>LEFT(#REF!,LEN("[K_"))="[K_"</formula>
    </cfRule>
  </conditionalFormatting>
  <conditionalFormatting sqref="B62:D172 H66:H172">
    <cfRule type="beginsWith" dxfId="37" priority="36" operator="beginsWith" text="[K_">
      <formula>LEFT(#REF!,LEN("[K_"))="[K_"</formula>
    </cfRule>
  </conditionalFormatting>
  <conditionalFormatting sqref="E173:E249">
    <cfRule type="duplicateValues" dxfId="36" priority="33"/>
  </conditionalFormatting>
  <conditionalFormatting sqref="H173:H249 B173:D249">
    <cfRule type="beginsWith" dxfId="35" priority="34" operator="beginsWith" text="[K_">
      <formula>LEFT(#REF!,LEN("[K_"))="[K_"</formula>
    </cfRule>
  </conditionalFormatting>
  <conditionalFormatting sqref="E4:E60">
    <cfRule type="duplicateValues" dxfId="34" priority="31"/>
  </conditionalFormatting>
  <conditionalFormatting sqref="B4:D60">
    <cfRule type="beginsWith" dxfId="33" priority="32" operator="beginsWith" text="[K_">
      <formula>LEFT(#REF!,LEN("[K_"))="[K_"</formula>
    </cfRule>
  </conditionalFormatting>
  <conditionalFormatting sqref="B60:D61">
    <cfRule type="beginsWith" dxfId="32" priority="30" operator="beginsWith" text="[K_">
      <formula>LEFT(#REF!,LEN("[K_"))="[K_"</formula>
    </cfRule>
  </conditionalFormatting>
  <conditionalFormatting sqref="F1:F1048576">
    <cfRule type="duplicateValues" dxfId="31" priority="28"/>
  </conditionalFormatting>
  <conditionalFormatting sqref="J1">
    <cfRule type="beginsWith" dxfId="30" priority="27" operator="beginsWith" text="[K_">
      <formula>LEFT(J1,LEN("[K_"))="[K_"</formula>
    </cfRule>
  </conditionalFormatting>
  <conditionalFormatting sqref="K3">
    <cfRule type="beginsWith" dxfId="29" priority="26" operator="beginsWith" text="[K_">
      <formula>LEFT(#REF!,LEN("[K_"))="[K_"</formula>
    </cfRule>
  </conditionalFormatting>
  <conditionalFormatting sqref="K4">
    <cfRule type="beginsWith" dxfId="28" priority="25" operator="beginsWith" text="[K_">
      <formula>LEFT(#REF!,LEN("[K_"))="[K_"</formula>
    </cfRule>
  </conditionalFormatting>
  <conditionalFormatting sqref="K66:K172">
    <cfRule type="beginsWith" dxfId="27" priority="24" operator="beginsWith" text="[K_">
      <formula>LEFT(#REF!,LEN("[K_"))="[K_"</formula>
    </cfRule>
  </conditionalFormatting>
  <conditionalFormatting sqref="K173:K249">
    <cfRule type="beginsWith" dxfId="26" priority="23" operator="beginsWith" text="[K_">
      <formula>LEFT(#REF!,LEN("[K_"))="[K_"</formula>
    </cfRule>
  </conditionalFormatting>
  <conditionalFormatting sqref="K4:K60">
    <cfRule type="beginsWith" dxfId="25" priority="22" operator="beginsWith" text="[K_">
      <formula>LEFT(#REF!,LEN("[K_"))="[K_"</formula>
    </cfRule>
  </conditionalFormatting>
  <conditionalFormatting sqref="K60:K61">
    <cfRule type="beginsWith" dxfId="24" priority="21" operator="beginsWith" text="[K_">
      <formula>LEFT(#REF!,LEN("[K_"))="[K_"</formula>
    </cfRule>
  </conditionalFormatting>
  <conditionalFormatting sqref="E3">
    <cfRule type="duplicateValues" dxfId="23" priority="13"/>
  </conditionalFormatting>
  <conditionalFormatting sqref="B3:D3 H3:H61">
    <cfRule type="beginsWith" dxfId="22" priority="14" operator="beginsWith" text="[K_">
      <formula>LEFT(#REF!,LEN("[K_"))="[K_"</formula>
    </cfRule>
  </conditionalFormatting>
  <conditionalFormatting sqref="K3">
    <cfRule type="beginsWith" dxfId="21" priority="12" operator="beginsWith" text="[K_">
      <formula>LEFT(#REF!,LEN("[K_"))="[K_"</formula>
    </cfRule>
  </conditionalFormatting>
  <conditionalFormatting sqref="E60:E61">
    <cfRule type="duplicateValues" dxfId="20" priority="171"/>
  </conditionalFormatting>
  <conditionalFormatting sqref="I4">
    <cfRule type="beginsWith" dxfId="19" priority="11" operator="beginsWith" text="[K_">
      <formula>LEFT(#REF!,LEN("[K_"))="[K_"</formula>
    </cfRule>
  </conditionalFormatting>
  <conditionalFormatting sqref="I66:I172">
    <cfRule type="beginsWith" dxfId="18" priority="10" operator="beginsWith" text="[K_">
      <formula>LEFT(#REF!,LEN("[K_"))="[K_"</formula>
    </cfRule>
  </conditionalFormatting>
  <conditionalFormatting sqref="I173:I249">
    <cfRule type="beginsWith" dxfId="17" priority="9" operator="beginsWith" text="[K_">
      <formula>LEFT(#REF!,LEN("[K_"))="[K_"</formula>
    </cfRule>
  </conditionalFormatting>
  <conditionalFormatting sqref="I4:I17 I19:I60">
    <cfRule type="beginsWith" dxfId="16" priority="8" operator="beginsWith" text="[K_">
      <formula>LEFT(#REF!,LEN("[K_"))="[K_"</formula>
    </cfRule>
  </conditionalFormatting>
  <conditionalFormatting sqref="I60:I61">
    <cfRule type="beginsWith" dxfId="15" priority="7" operator="beginsWith" text="[K_">
      <formula>LEFT(#REF!,LEN("[K_"))="[K_"</formula>
    </cfRule>
  </conditionalFormatting>
  <conditionalFormatting sqref="I3">
    <cfRule type="beginsWith" dxfId="14" priority="6" operator="beginsWith" text="[K_">
      <formula>LEFT(#REF!,LEN("[K_"))="[K_"</formula>
    </cfRule>
  </conditionalFormatting>
  <conditionalFormatting sqref="J4">
    <cfRule type="beginsWith" dxfId="13" priority="5" operator="beginsWith" text="[K_">
      <formula>LEFT(#REF!,LEN("[K_"))="[K_"</formula>
    </cfRule>
  </conditionalFormatting>
  <conditionalFormatting sqref="J4:J60">
    <cfRule type="beginsWith" dxfId="12" priority="4" operator="beginsWith" text="[K_">
      <formula>LEFT(#REF!,LEN("[K_"))="[K_"</formula>
    </cfRule>
  </conditionalFormatting>
  <conditionalFormatting sqref="J60:J61">
    <cfRule type="beginsWith" dxfId="11" priority="3" operator="beginsWith" text="[K_">
      <formula>LEFT(#REF!,LEN("[K_"))="[K_"</formula>
    </cfRule>
  </conditionalFormatting>
  <conditionalFormatting sqref="J3">
    <cfRule type="beginsWith" dxfId="10" priority="2" operator="beginsWith" text="[K_">
      <formula>LEFT(#REF!,LEN("[K_"))="[K_"</formula>
    </cfRule>
  </conditionalFormatting>
  <conditionalFormatting sqref="I18">
    <cfRule type="beginsWith" dxfId="9" priority="1" operator="beginsWith" text="[K_">
      <formula>LEFT(#REF!,LEN("[K_"))="[K_"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BDCF-8163-4EC6-9A6E-FC058E90368F}">
  <dimension ref="A1:CV60"/>
  <sheetViews>
    <sheetView topLeftCell="O1" workbookViewId="0">
      <selection activeCell="Z1" sqref="Z1"/>
    </sheetView>
  </sheetViews>
  <sheetFormatPr baseColWidth="10" defaultRowHeight="15" x14ac:dyDescent="0.25"/>
  <cols>
    <col min="3" max="3" width="11.42578125" customWidth="1"/>
    <col min="4" max="4" width="51.5703125" customWidth="1"/>
    <col min="5" max="5" width="63.140625" customWidth="1"/>
    <col min="6" max="6" width="11.42578125" customWidth="1"/>
    <col min="7" max="8" width="23.42578125" customWidth="1"/>
    <col min="9" max="11" width="11.42578125" customWidth="1"/>
    <col min="12" max="12" width="29.42578125" bestFit="1" customWidth="1"/>
    <col min="14" max="14" width="16.140625" bestFit="1" customWidth="1"/>
    <col min="58" max="58" width="11.140625" bestFit="1" customWidth="1"/>
    <col min="62" max="62" width="15.42578125" bestFit="1" customWidth="1"/>
    <col min="71" max="71" width="23.85546875" bestFit="1" customWidth="1"/>
    <col min="82" max="82" width="14.28515625" bestFit="1" customWidth="1"/>
  </cols>
  <sheetData>
    <row r="1" spans="1:100" x14ac:dyDescent="0.25">
      <c r="A1" s="27" t="s">
        <v>110</v>
      </c>
      <c r="B1" s="21" t="s">
        <v>14</v>
      </c>
      <c r="C1" s="21"/>
      <c r="D1" s="22" t="s">
        <v>15</v>
      </c>
      <c r="E1" s="32" t="s">
        <v>16</v>
      </c>
      <c r="F1" s="25" t="s">
        <v>17</v>
      </c>
      <c r="G1" s="31" t="s">
        <v>18</v>
      </c>
      <c r="H1" s="31"/>
      <c r="I1" s="31" t="s">
        <v>19</v>
      </c>
      <c r="J1" s="31" t="s">
        <v>20</v>
      </c>
      <c r="K1" s="10" t="s">
        <v>21</v>
      </c>
      <c r="L1" s="23" t="s">
        <v>22</v>
      </c>
      <c r="M1" s="11" t="s">
        <v>23</v>
      </c>
      <c r="N1" s="10" t="s">
        <v>24</v>
      </c>
      <c r="O1" s="10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</row>
    <row r="2" spans="1:100" x14ac:dyDescent="0.25">
      <c r="A2" s="27">
        <v>59</v>
      </c>
      <c r="B2" s="21" t="s">
        <v>586</v>
      </c>
      <c r="C2" s="21" t="s">
        <v>587</v>
      </c>
      <c r="D2" s="22" t="s">
        <v>778</v>
      </c>
      <c r="E2" s="32" t="s">
        <v>112</v>
      </c>
      <c r="F2" s="25" t="s">
        <v>111</v>
      </c>
      <c r="G2" s="31" t="s">
        <v>113</v>
      </c>
      <c r="H2" s="31" t="s">
        <v>646</v>
      </c>
      <c r="I2" s="31" t="s">
        <v>114</v>
      </c>
      <c r="J2" s="31">
        <v>49200</v>
      </c>
      <c r="K2" s="10" t="s">
        <v>115</v>
      </c>
      <c r="L2" s="23" t="s">
        <v>116</v>
      </c>
      <c r="M2" s="11" t="s">
        <v>117</v>
      </c>
      <c r="N2" s="10">
        <v>18773348706</v>
      </c>
      <c r="O2" s="10" t="s">
        <v>118</v>
      </c>
      <c r="P2" s="10" t="s">
        <v>119</v>
      </c>
      <c r="Q2" s="10" t="s">
        <v>119</v>
      </c>
      <c r="R2" s="10" t="s">
        <v>118</v>
      </c>
      <c r="S2" s="10">
        <v>20201216</v>
      </c>
      <c r="T2" s="10">
        <v>2</v>
      </c>
      <c r="U2" s="10" t="s">
        <v>120</v>
      </c>
      <c r="V2" s="10" t="s">
        <v>121</v>
      </c>
      <c r="W2" s="10" t="s">
        <v>122</v>
      </c>
      <c r="X2" s="10">
        <v>3000000</v>
      </c>
      <c r="Y2" s="10" t="str">
        <f>LEFT(S2,4)</f>
        <v>2020</v>
      </c>
      <c r="Z2" s="10" t="str">
        <f>RIGHT(S2,4)</f>
        <v>1216</v>
      </c>
      <c r="AA2" s="10" t="str">
        <f>LEFT(Z2,2)</f>
        <v>12</v>
      </c>
      <c r="AB2" s="10" t="str">
        <f>RIGHT(Z2,2)</f>
        <v>16</v>
      </c>
      <c r="AC2" s="10" t="str">
        <f>CONCATENATE(Y2,"-",AA2,"-",AB2)</f>
        <v>2020-12-16</v>
      </c>
      <c r="AD2" s="10" t="s">
        <v>123</v>
      </c>
      <c r="AE2" s="10" t="s">
        <v>125</v>
      </c>
      <c r="AF2" s="10" t="s">
        <v>126</v>
      </c>
      <c r="AG2" s="10" t="s">
        <v>123</v>
      </c>
      <c r="AH2" s="10" t="s">
        <v>124</v>
      </c>
      <c r="AI2" s="10" t="s">
        <v>127</v>
      </c>
      <c r="AJ2" s="10" t="s">
        <v>123</v>
      </c>
      <c r="AK2" s="10">
        <v>60</v>
      </c>
      <c r="AL2" s="10">
        <v>0</v>
      </c>
      <c r="AM2" s="10">
        <v>0</v>
      </c>
      <c r="AN2" s="10" t="s">
        <v>124</v>
      </c>
      <c r="AO2" s="33">
        <v>0</v>
      </c>
      <c r="AP2" s="10" t="s">
        <v>123</v>
      </c>
      <c r="AQ2" s="10" t="s">
        <v>123</v>
      </c>
      <c r="AR2" s="10" t="s">
        <v>123</v>
      </c>
      <c r="AS2" s="10">
        <v>0</v>
      </c>
      <c r="AT2" s="10">
        <v>0</v>
      </c>
      <c r="AU2" s="33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123</v>
      </c>
      <c r="BI2" s="10" t="s">
        <v>123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 t="s">
        <v>124</v>
      </c>
      <c r="BP2" s="10" t="s">
        <v>128</v>
      </c>
      <c r="BQ2" s="10" t="s">
        <v>128</v>
      </c>
      <c r="BR2" s="10" t="s">
        <v>124</v>
      </c>
      <c r="BS2" s="10" t="s">
        <v>123</v>
      </c>
      <c r="BT2" s="10" t="s">
        <v>123</v>
      </c>
      <c r="BU2" s="10" t="s">
        <v>123</v>
      </c>
      <c r="BV2" s="10" t="s">
        <v>123</v>
      </c>
      <c r="BW2" s="10" t="s">
        <v>123</v>
      </c>
      <c r="BX2" s="10" t="s">
        <v>123</v>
      </c>
      <c r="BY2" s="10">
        <v>0</v>
      </c>
      <c r="BZ2" s="10" t="s">
        <v>123</v>
      </c>
      <c r="CA2" s="10" t="s">
        <v>123</v>
      </c>
      <c r="CB2" s="10">
        <v>0</v>
      </c>
      <c r="CC2" s="10" t="s">
        <v>123</v>
      </c>
      <c r="CD2" s="10" t="s">
        <v>123</v>
      </c>
      <c r="CE2" s="10" t="s">
        <v>123</v>
      </c>
      <c r="CF2" s="10" t="s">
        <v>123</v>
      </c>
      <c r="CG2" s="10" t="s">
        <v>123</v>
      </c>
      <c r="CH2" s="10">
        <v>26</v>
      </c>
      <c r="CI2" s="10" t="s">
        <v>129</v>
      </c>
      <c r="CJ2" s="10" t="s">
        <v>123</v>
      </c>
      <c r="CK2" s="10" t="s">
        <v>123</v>
      </c>
      <c r="CL2" s="10" t="s">
        <v>123</v>
      </c>
      <c r="CM2" s="10" t="s">
        <v>123</v>
      </c>
      <c r="CN2" s="10" t="s">
        <v>123</v>
      </c>
      <c r="CO2" s="10">
        <v>0</v>
      </c>
      <c r="CP2" s="10">
        <v>0</v>
      </c>
      <c r="CQ2" s="10">
        <v>0</v>
      </c>
      <c r="CR2" s="10" t="s">
        <v>123</v>
      </c>
      <c r="CS2" s="10" t="s">
        <v>123</v>
      </c>
      <c r="CT2" s="10" t="s">
        <v>117</v>
      </c>
      <c r="CU2" s="10" t="s">
        <v>123</v>
      </c>
      <c r="CV2" s="10">
        <v>59</v>
      </c>
    </row>
    <row r="3" spans="1:100" x14ac:dyDescent="0.25">
      <c r="A3" s="27">
        <v>46</v>
      </c>
      <c r="B3" s="21" t="s">
        <v>130</v>
      </c>
      <c r="C3" s="21" t="s">
        <v>588</v>
      </c>
      <c r="D3" s="22" t="s">
        <v>779</v>
      </c>
      <c r="E3" s="32" t="s">
        <v>131</v>
      </c>
      <c r="F3" s="25" t="s">
        <v>123</v>
      </c>
      <c r="G3" s="31" t="s">
        <v>132</v>
      </c>
      <c r="H3" s="31" t="s">
        <v>647</v>
      </c>
      <c r="I3" s="31" t="s">
        <v>133</v>
      </c>
      <c r="J3" s="31">
        <v>11021</v>
      </c>
      <c r="K3" s="10" t="s">
        <v>134</v>
      </c>
      <c r="L3" s="23" t="s">
        <v>123</v>
      </c>
      <c r="M3" s="11" t="s">
        <v>123</v>
      </c>
      <c r="N3" s="10" t="s">
        <v>118</v>
      </c>
      <c r="O3" s="10" t="s">
        <v>123</v>
      </c>
      <c r="P3" s="10" t="s">
        <v>123</v>
      </c>
      <c r="Q3" s="10" t="s">
        <v>123</v>
      </c>
      <c r="R3" s="10" t="s">
        <v>123</v>
      </c>
      <c r="S3" s="10">
        <v>20150831</v>
      </c>
      <c r="T3" s="10">
        <v>2</v>
      </c>
      <c r="U3" s="10" t="s">
        <v>120</v>
      </c>
      <c r="V3" s="10" t="s">
        <v>121</v>
      </c>
      <c r="W3" s="10" t="s">
        <v>122</v>
      </c>
      <c r="X3" s="10">
        <v>3000000</v>
      </c>
      <c r="Y3" s="10" t="str">
        <f t="shared" ref="Y3:Y60" si="0">LEFT(S3,4)</f>
        <v>2015</v>
      </c>
      <c r="Z3" s="10" t="str">
        <f t="shared" ref="Z3:Z60" si="1">RIGHT(S3,4)</f>
        <v>0831</v>
      </c>
      <c r="AA3" s="10" t="str">
        <f t="shared" ref="AA3:AA60" si="2">LEFT(Z3,2)</f>
        <v>08</v>
      </c>
      <c r="AB3" s="10" t="str">
        <f t="shared" ref="AB3:AB60" si="3">RIGHT(Z3,2)</f>
        <v>31</v>
      </c>
      <c r="AC3" s="10" t="str">
        <f t="shared" ref="AC3:AC60" si="4">CONCATENATE(Y3,"-",AA3,"-",AB3)</f>
        <v>2015-08-31</v>
      </c>
      <c r="AD3" s="10" t="s">
        <v>123</v>
      </c>
      <c r="AE3" s="10" t="s">
        <v>125</v>
      </c>
      <c r="AF3" s="10" t="s">
        <v>126</v>
      </c>
      <c r="AG3" s="10" t="s">
        <v>123</v>
      </c>
      <c r="AH3" s="10" t="s">
        <v>124</v>
      </c>
      <c r="AI3" s="10" t="s">
        <v>135</v>
      </c>
      <c r="AJ3" s="10" t="s">
        <v>123</v>
      </c>
      <c r="AK3" s="10">
        <v>5</v>
      </c>
      <c r="AL3" s="10">
        <v>0</v>
      </c>
      <c r="AM3" s="10">
        <v>0</v>
      </c>
      <c r="AN3" s="10" t="s">
        <v>124</v>
      </c>
      <c r="AO3" s="33">
        <v>0</v>
      </c>
      <c r="AP3" s="10" t="s">
        <v>123</v>
      </c>
      <c r="AQ3" s="10" t="s">
        <v>123</v>
      </c>
      <c r="AR3" s="10" t="s">
        <v>123</v>
      </c>
      <c r="AS3" s="10">
        <v>0</v>
      </c>
      <c r="AT3" s="10">
        <v>0</v>
      </c>
      <c r="AU3" s="33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20160531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 t="s">
        <v>123</v>
      </c>
      <c r="BI3" s="10" t="s">
        <v>123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 t="s">
        <v>124</v>
      </c>
      <c r="BP3" s="10" t="s">
        <v>128</v>
      </c>
      <c r="BQ3" s="10" t="s">
        <v>128</v>
      </c>
      <c r="BR3" s="10" t="s">
        <v>124</v>
      </c>
      <c r="BS3" s="10" t="s">
        <v>123</v>
      </c>
      <c r="BT3" s="10" t="s">
        <v>123</v>
      </c>
      <c r="BU3" s="10" t="s">
        <v>123</v>
      </c>
      <c r="BV3" s="10" t="s">
        <v>123</v>
      </c>
      <c r="BW3" s="10" t="s">
        <v>123</v>
      </c>
      <c r="BX3" s="10" t="s">
        <v>123</v>
      </c>
      <c r="BY3" s="10">
        <v>0</v>
      </c>
      <c r="BZ3" s="10" t="s">
        <v>123</v>
      </c>
      <c r="CA3" s="10" t="s">
        <v>123</v>
      </c>
      <c r="CB3" s="10">
        <v>0</v>
      </c>
      <c r="CC3" s="10" t="s">
        <v>123</v>
      </c>
      <c r="CD3" s="10">
        <v>69000000</v>
      </c>
      <c r="CE3" s="10" t="s">
        <v>123</v>
      </c>
      <c r="CF3" s="10" t="s">
        <v>123</v>
      </c>
      <c r="CG3" s="10" t="s">
        <v>123</v>
      </c>
      <c r="CH3" s="10">
        <v>26</v>
      </c>
      <c r="CI3" s="10" t="s">
        <v>129</v>
      </c>
      <c r="CJ3" s="10" t="s">
        <v>123</v>
      </c>
      <c r="CK3" s="10" t="s">
        <v>123</v>
      </c>
      <c r="CL3" s="10" t="s">
        <v>123</v>
      </c>
      <c r="CM3" s="10" t="s">
        <v>123</v>
      </c>
      <c r="CN3" s="10" t="s">
        <v>123</v>
      </c>
      <c r="CO3" s="10">
        <v>0</v>
      </c>
      <c r="CP3" s="10">
        <v>0</v>
      </c>
      <c r="CQ3" s="10">
        <v>0</v>
      </c>
      <c r="CR3" s="10" t="s">
        <v>123</v>
      </c>
      <c r="CS3" s="10" t="s">
        <v>123</v>
      </c>
      <c r="CT3" s="10" t="s">
        <v>136</v>
      </c>
      <c r="CU3" s="10" t="s">
        <v>123</v>
      </c>
      <c r="CV3" s="10">
        <v>46</v>
      </c>
    </row>
    <row r="4" spans="1:100" x14ac:dyDescent="0.25">
      <c r="A4" s="27">
        <v>49</v>
      </c>
      <c r="B4" s="21" t="s">
        <v>137</v>
      </c>
      <c r="C4" s="21" t="s">
        <v>589</v>
      </c>
      <c r="D4" s="22" t="s">
        <v>779</v>
      </c>
      <c r="E4" s="32" t="s">
        <v>138</v>
      </c>
      <c r="F4" s="25" t="s">
        <v>139</v>
      </c>
      <c r="G4" s="31" t="s">
        <v>140</v>
      </c>
      <c r="H4" s="31" t="s">
        <v>648</v>
      </c>
      <c r="I4" s="31" t="s">
        <v>133</v>
      </c>
      <c r="J4" s="31">
        <v>11021</v>
      </c>
      <c r="K4" s="10" t="s">
        <v>134</v>
      </c>
      <c r="L4" s="23" t="s">
        <v>141</v>
      </c>
      <c r="M4" s="11" t="s">
        <v>123</v>
      </c>
      <c r="N4" s="10" t="s">
        <v>142</v>
      </c>
      <c r="O4" s="10" t="s">
        <v>123</v>
      </c>
      <c r="P4" s="10" t="s">
        <v>123</v>
      </c>
      <c r="Q4" s="10" t="s">
        <v>123</v>
      </c>
      <c r="R4" s="10" t="s">
        <v>123</v>
      </c>
      <c r="S4" s="10">
        <v>20161208</v>
      </c>
      <c r="T4" s="10">
        <v>2</v>
      </c>
      <c r="U4" s="10" t="s">
        <v>143</v>
      </c>
      <c r="V4" s="10" t="s">
        <v>121</v>
      </c>
      <c r="W4" s="10" t="s">
        <v>122</v>
      </c>
      <c r="X4" s="10" t="s">
        <v>123</v>
      </c>
      <c r="Y4" s="10" t="str">
        <f t="shared" si="0"/>
        <v>2016</v>
      </c>
      <c r="Z4" s="10" t="str">
        <f t="shared" si="1"/>
        <v>1208</v>
      </c>
      <c r="AA4" s="10" t="str">
        <f t="shared" si="2"/>
        <v>12</v>
      </c>
      <c r="AB4" s="10" t="str">
        <f t="shared" si="3"/>
        <v>08</v>
      </c>
      <c r="AC4" s="10" t="str">
        <f t="shared" si="4"/>
        <v>2016-12-08</v>
      </c>
      <c r="AD4" s="10" t="s">
        <v>123</v>
      </c>
      <c r="AE4" s="10" t="s">
        <v>123</v>
      </c>
      <c r="AF4" s="10" t="s">
        <v>144</v>
      </c>
      <c r="AG4" s="10" t="s">
        <v>123</v>
      </c>
      <c r="AH4" s="10" t="s">
        <v>124</v>
      </c>
      <c r="AI4" s="10" t="s">
        <v>135</v>
      </c>
      <c r="AJ4" s="10" t="s">
        <v>123</v>
      </c>
      <c r="AK4" s="10" t="s">
        <v>145</v>
      </c>
      <c r="AL4" s="10">
        <v>0</v>
      </c>
      <c r="AM4" s="10">
        <v>0</v>
      </c>
      <c r="AN4" s="10" t="s">
        <v>124</v>
      </c>
      <c r="AO4" s="33">
        <v>0</v>
      </c>
      <c r="AP4" s="10" t="s">
        <v>123</v>
      </c>
      <c r="AQ4" s="10" t="s">
        <v>123</v>
      </c>
      <c r="AR4" s="10" t="s">
        <v>123</v>
      </c>
      <c r="AS4" s="10">
        <v>0</v>
      </c>
      <c r="AT4" s="10">
        <v>0</v>
      </c>
      <c r="AU4" s="33">
        <v>0</v>
      </c>
      <c r="AV4" s="10">
        <v>0</v>
      </c>
      <c r="AW4" s="10">
        <v>0</v>
      </c>
      <c r="AX4" s="10">
        <v>0</v>
      </c>
      <c r="AY4" s="10">
        <v>3440</v>
      </c>
      <c r="AZ4" s="10">
        <v>3440</v>
      </c>
      <c r="BA4" s="10">
        <v>20170406</v>
      </c>
      <c r="BB4" s="10">
        <v>1940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 t="s">
        <v>123</v>
      </c>
      <c r="BI4" s="10" t="s">
        <v>123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 t="s">
        <v>124</v>
      </c>
      <c r="BP4" s="10" t="s">
        <v>128</v>
      </c>
      <c r="BQ4" s="10" t="s">
        <v>128</v>
      </c>
      <c r="BR4" s="10" t="s">
        <v>124</v>
      </c>
      <c r="BS4" s="10" t="s">
        <v>123</v>
      </c>
      <c r="BT4" s="10" t="s">
        <v>123</v>
      </c>
      <c r="BU4" s="10" t="s">
        <v>123</v>
      </c>
      <c r="BV4" s="10" t="s">
        <v>123</v>
      </c>
      <c r="BW4" s="10" t="s">
        <v>123</v>
      </c>
      <c r="BX4" s="10" t="s">
        <v>123</v>
      </c>
      <c r="BY4" s="10">
        <v>0</v>
      </c>
      <c r="BZ4" s="10" t="s">
        <v>123</v>
      </c>
      <c r="CA4" s="10" t="s">
        <v>123</v>
      </c>
      <c r="CB4" s="10">
        <v>0</v>
      </c>
      <c r="CC4" s="10" t="s">
        <v>123</v>
      </c>
      <c r="CD4" s="10">
        <v>69000000</v>
      </c>
      <c r="CE4" s="10" t="s">
        <v>123</v>
      </c>
      <c r="CF4" s="10" t="s">
        <v>123</v>
      </c>
      <c r="CG4" s="10" t="s">
        <v>123</v>
      </c>
      <c r="CH4" s="10">
        <v>26</v>
      </c>
      <c r="CI4" s="10" t="s">
        <v>123</v>
      </c>
      <c r="CJ4" s="10" t="s">
        <v>123</v>
      </c>
      <c r="CK4" s="10" t="s">
        <v>123</v>
      </c>
      <c r="CL4" s="10" t="s">
        <v>123</v>
      </c>
      <c r="CM4" s="10" t="s">
        <v>123</v>
      </c>
      <c r="CN4" s="10" t="s">
        <v>123</v>
      </c>
      <c r="CO4" s="10">
        <v>0</v>
      </c>
      <c r="CP4" s="10">
        <v>0</v>
      </c>
      <c r="CQ4" s="10">
        <v>0</v>
      </c>
      <c r="CR4" s="10" t="s">
        <v>123</v>
      </c>
      <c r="CS4" s="10" t="s">
        <v>123</v>
      </c>
      <c r="CT4" s="10" t="s">
        <v>123</v>
      </c>
      <c r="CU4" s="10" t="s">
        <v>123</v>
      </c>
      <c r="CV4" s="10">
        <v>49</v>
      </c>
    </row>
    <row r="5" spans="1:100" x14ac:dyDescent="0.25">
      <c r="A5" s="27">
        <v>29</v>
      </c>
      <c r="B5" s="21" t="s">
        <v>146</v>
      </c>
      <c r="C5" s="21" t="s">
        <v>590</v>
      </c>
      <c r="D5" s="22" t="s">
        <v>780</v>
      </c>
      <c r="E5" s="32" t="s">
        <v>147</v>
      </c>
      <c r="F5" s="25" t="s">
        <v>148</v>
      </c>
      <c r="G5" s="31" t="s">
        <v>149</v>
      </c>
      <c r="H5" s="31" t="s">
        <v>649</v>
      </c>
      <c r="I5" s="31" t="s">
        <v>123</v>
      </c>
      <c r="J5" s="31" t="s">
        <v>150</v>
      </c>
      <c r="K5" s="10" t="s">
        <v>151</v>
      </c>
      <c r="L5" s="23" t="s">
        <v>123</v>
      </c>
      <c r="M5" s="11" t="s">
        <v>123</v>
      </c>
      <c r="N5" s="10" t="s">
        <v>152</v>
      </c>
      <c r="O5" s="10" t="s">
        <v>123</v>
      </c>
      <c r="P5" s="10" t="s">
        <v>123</v>
      </c>
      <c r="Q5" s="10" t="s">
        <v>123</v>
      </c>
      <c r="R5" s="10">
        <v>5197335887</v>
      </c>
      <c r="S5" s="10">
        <v>20011008</v>
      </c>
      <c r="T5" s="10">
        <v>2</v>
      </c>
      <c r="U5" s="10" t="s">
        <v>120</v>
      </c>
      <c r="V5" s="10" t="s">
        <v>121</v>
      </c>
      <c r="W5" s="10" t="s">
        <v>122</v>
      </c>
      <c r="X5" s="10">
        <v>500000</v>
      </c>
      <c r="Y5" s="10" t="str">
        <f t="shared" si="0"/>
        <v>2001</v>
      </c>
      <c r="Z5" s="10" t="str">
        <f t="shared" si="1"/>
        <v>1008</v>
      </c>
      <c r="AA5" s="10" t="str">
        <f t="shared" si="2"/>
        <v>10</v>
      </c>
      <c r="AB5" s="10" t="str">
        <f t="shared" si="3"/>
        <v>08</v>
      </c>
      <c r="AC5" s="10" t="str">
        <f t="shared" si="4"/>
        <v>2001-10-08</v>
      </c>
      <c r="AD5" s="10" t="s">
        <v>123</v>
      </c>
      <c r="AE5" s="10" t="s">
        <v>153</v>
      </c>
      <c r="AF5" s="10" t="s">
        <v>126</v>
      </c>
      <c r="AG5" s="10" t="s">
        <v>123</v>
      </c>
      <c r="AH5" s="10" t="s">
        <v>124</v>
      </c>
      <c r="AI5" s="10" t="s">
        <v>135</v>
      </c>
      <c r="AJ5" s="10" t="s">
        <v>123</v>
      </c>
      <c r="AK5" s="10">
        <v>30</v>
      </c>
      <c r="AL5" s="10">
        <v>0</v>
      </c>
      <c r="AM5" s="10">
        <v>0</v>
      </c>
      <c r="AN5" s="10" t="s">
        <v>124</v>
      </c>
      <c r="AO5" s="33">
        <v>0</v>
      </c>
      <c r="AP5" s="10" t="s">
        <v>123</v>
      </c>
      <c r="AQ5" s="10" t="s">
        <v>123</v>
      </c>
      <c r="AR5" s="10" t="s">
        <v>123</v>
      </c>
      <c r="AS5" s="10">
        <v>0</v>
      </c>
      <c r="AT5" s="10">
        <v>0</v>
      </c>
      <c r="AU5" s="33">
        <v>0</v>
      </c>
      <c r="AV5" s="10">
        <v>0</v>
      </c>
      <c r="AW5" s="10">
        <v>0</v>
      </c>
      <c r="AX5" s="10">
        <v>0</v>
      </c>
      <c r="AY5" s="10">
        <v>0</v>
      </c>
      <c r="AZ5" s="10">
        <v>24196.799999999999</v>
      </c>
      <c r="BA5" s="10">
        <v>20040916</v>
      </c>
      <c r="BB5" s="10">
        <v>319</v>
      </c>
      <c r="BC5" s="10">
        <v>0</v>
      </c>
      <c r="BD5" s="10">
        <v>0</v>
      </c>
      <c r="BE5" s="10">
        <v>0</v>
      </c>
      <c r="BF5" s="10">
        <v>20040210</v>
      </c>
      <c r="BG5" s="10">
        <v>960</v>
      </c>
      <c r="BH5" s="10" t="s">
        <v>123</v>
      </c>
      <c r="BI5" s="10" t="s">
        <v>123</v>
      </c>
      <c r="BJ5" s="10">
        <v>20110131</v>
      </c>
      <c r="BK5" s="10">
        <v>0</v>
      </c>
      <c r="BL5" s="10">
        <v>0</v>
      </c>
      <c r="BM5" s="10">
        <v>0</v>
      </c>
      <c r="BN5" s="10">
        <v>0</v>
      </c>
      <c r="BO5" s="10" t="s">
        <v>124</v>
      </c>
      <c r="BP5" s="10" t="s">
        <v>128</v>
      </c>
      <c r="BQ5" s="10" t="s">
        <v>128</v>
      </c>
      <c r="BR5" s="10" t="s">
        <v>124</v>
      </c>
      <c r="BS5" s="10" t="s">
        <v>123</v>
      </c>
      <c r="BT5" s="10" t="s">
        <v>154</v>
      </c>
      <c r="BU5" s="10" t="s">
        <v>123</v>
      </c>
      <c r="BV5" s="10" t="s">
        <v>123</v>
      </c>
      <c r="BW5" s="10" t="s">
        <v>123</v>
      </c>
      <c r="BX5" s="10" t="s">
        <v>123</v>
      </c>
      <c r="BY5" s="10">
        <v>0</v>
      </c>
      <c r="BZ5" s="10" t="s">
        <v>123</v>
      </c>
      <c r="CA5" s="10" t="s">
        <v>123</v>
      </c>
      <c r="CB5" s="10">
        <v>0</v>
      </c>
      <c r="CC5" s="10" t="s">
        <v>123</v>
      </c>
      <c r="CD5" s="10">
        <v>69000000</v>
      </c>
      <c r="CE5" s="10" t="s">
        <v>123</v>
      </c>
      <c r="CF5" s="10" t="s">
        <v>123</v>
      </c>
      <c r="CG5" s="10" t="s">
        <v>123</v>
      </c>
      <c r="CH5" s="10">
        <v>26</v>
      </c>
      <c r="CI5" s="10" t="s">
        <v>129</v>
      </c>
      <c r="CJ5" s="10" t="s">
        <v>123</v>
      </c>
      <c r="CK5" s="10" t="s">
        <v>123</v>
      </c>
      <c r="CL5" s="10" t="s">
        <v>123</v>
      </c>
      <c r="CM5" s="10" t="s">
        <v>123</v>
      </c>
      <c r="CN5" s="10" t="s">
        <v>123</v>
      </c>
      <c r="CO5" s="10">
        <v>0</v>
      </c>
      <c r="CP5" s="10">
        <v>0</v>
      </c>
      <c r="CQ5" s="10">
        <v>0</v>
      </c>
      <c r="CR5" s="10">
        <v>2</v>
      </c>
      <c r="CS5" s="10" t="s">
        <v>123</v>
      </c>
      <c r="CT5" s="10" t="s">
        <v>123</v>
      </c>
      <c r="CU5" s="10" t="s">
        <v>123</v>
      </c>
      <c r="CV5" s="10">
        <v>29</v>
      </c>
    </row>
    <row r="6" spans="1:100" x14ac:dyDescent="0.25">
      <c r="A6" s="27">
        <v>33</v>
      </c>
      <c r="B6" s="21" t="s">
        <v>155</v>
      </c>
      <c r="C6" s="21" t="s">
        <v>591</v>
      </c>
      <c r="D6" s="22" t="s">
        <v>570</v>
      </c>
      <c r="E6" s="32" t="s">
        <v>123</v>
      </c>
      <c r="F6" s="25" t="s">
        <v>123</v>
      </c>
      <c r="G6" s="31" t="s">
        <v>123</v>
      </c>
      <c r="H6" s="31" t="s">
        <v>123</v>
      </c>
      <c r="I6" s="31" t="s">
        <v>123</v>
      </c>
      <c r="J6" s="31" t="s">
        <v>156</v>
      </c>
      <c r="K6" s="10" t="s">
        <v>123</v>
      </c>
      <c r="L6" s="23" t="s">
        <v>123</v>
      </c>
      <c r="M6" s="11" t="s">
        <v>123</v>
      </c>
      <c r="N6" s="10" t="s">
        <v>118</v>
      </c>
      <c r="O6" s="10" t="s">
        <v>123</v>
      </c>
      <c r="P6" s="10" t="s">
        <v>123</v>
      </c>
      <c r="Q6" s="10" t="s">
        <v>123</v>
      </c>
      <c r="R6" s="10" t="s">
        <v>123</v>
      </c>
      <c r="S6" s="10">
        <v>20020128</v>
      </c>
      <c r="T6" s="10">
        <v>2</v>
      </c>
      <c r="U6" s="10" t="s">
        <v>143</v>
      </c>
      <c r="V6" s="10" t="s">
        <v>121</v>
      </c>
      <c r="W6" s="10" t="s">
        <v>122</v>
      </c>
      <c r="X6" s="10">
        <v>5000</v>
      </c>
      <c r="Y6" s="10" t="str">
        <f t="shared" si="0"/>
        <v>2002</v>
      </c>
      <c r="Z6" s="10" t="str">
        <f t="shared" si="1"/>
        <v>0128</v>
      </c>
      <c r="AA6" s="10" t="str">
        <f t="shared" si="2"/>
        <v>01</v>
      </c>
      <c r="AB6" s="10" t="str">
        <f t="shared" si="3"/>
        <v>28</v>
      </c>
      <c r="AC6" s="10" t="str">
        <f t="shared" si="4"/>
        <v>2002-01-28</v>
      </c>
      <c r="AD6" s="10" t="s">
        <v>123</v>
      </c>
      <c r="AE6" s="10" t="s">
        <v>123</v>
      </c>
      <c r="AF6" s="10" t="s">
        <v>126</v>
      </c>
      <c r="AG6" s="10" t="s">
        <v>123</v>
      </c>
      <c r="AH6" s="10" t="s">
        <v>124</v>
      </c>
      <c r="AI6" s="10" t="s">
        <v>135</v>
      </c>
      <c r="AJ6" s="10" t="s">
        <v>123</v>
      </c>
      <c r="AK6" s="10" t="s">
        <v>145</v>
      </c>
      <c r="AL6" s="10">
        <v>0</v>
      </c>
      <c r="AM6" s="10">
        <v>0</v>
      </c>
      <c r="AN6" s="10" t="s">
        <v>124</v>
      </c>
      <c r="AO6" s="10" t="s">
        <v>123</v>
      </c>
      <c r="AP6" s="10" t="s">
        <v>123</v>
      </c>
      <c r="AQ6" s="10" t="s">
        <v>123</v>
      </c>
      <c r="AR6" s="10" t="s">
        <v>123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540171.25</v>
      </c>
      <c r="AZ6" s="10">
        <v>540171.25</v>
      </c>
      <c r="BA6" s="10">
        <v>20180830</v>
      </c>
      <c r="BB6" s="10">
        <v>23015</v>
      </c>
      <c r="BC6" s="10">
        <v>0</v>
      </c>
      <c r="BD6" s="10">
        <v>0</v>
      </c>
      <c r="BE6" s="10">
        <v>0</v>
      </c>
      <c r="BF6" s="10">
        <v>20110111</v>
      </c>
      <c r="BG6" s="10">
        <v>14169</v>
      </c>
      <c r="BH6" s="10" t="s">
        <v>123</v>
      </c>
      <c r="BI6" s="10" t="s">
        <v>123</v>
      </c>
      <c r="BJ6" s="10">
        <v>20110131</v>
      </c>
      <c r="BK6" s="10">
        <v>0</v>
      </c>
      <c r="BL6" s="10">
        <v>0</v>
      </c>
      <c r="BM6" s="10">
        <v>0</v>
      </c>
      <c r="BN6" s="10">
        <v>0</v>
      </c>
      <c r="BO6" s="10" t="s">
        <v>124</v>
      </c>
      <c r="BP6" s="10" t="s">
        <v>128</v>
      </c>
      <c r="BQ6" s="10" t="s">
        <v>128</v>
      </c>
      <c r="BR6" s="10" t="s">
        <v>124</v>
      </c>
      <c r="BS6" s="10" t="s">
        <v>123</v>
      </c>
      <c r="BT6" s="10" t="s">
        <v>123</v>
      </c>
      <c r="BU6" s="10" t="s">
        <v>123</v>
      </c>
      <c r="BV6" s="10" t="s">
        <v>157</v>
      </c>
      <c r="BW6" s="10" t="s">
        <v>123</v>
      </c>
      <c r="BX6" s="10" t="s">
        <v>123</v>
      </c>
      <c r="BY6" s="10">
        <v>0</v>
      </c>
      <c r="BZ6" s="10" t="s">
        <v>123</v>
      </c>
      <c r="CA6" s="10" t="s">
        <v>123</v>
      </c>
      <c r="CB6" s="10">
        <v>0</v>
      </c>
      <c r="CC6" s="10" t="s">
        <v>123</v>
      </c>
      <c r="CD6" s="10">
        <v>69000000</v>
      </c>
      <c r="CE6" s="10" t="s">
        <v>123</v>
      </c>
      <c r="CF6" s="10" t="s">
        <v>123</v>
      </c>
      <c r="CG6" s="10" t="s">
        <v>123</v>
      </c>
      <c r="CH6" s="10">
        <v>26</v>
      </c>
      <c r="CI6" s="10" t="s">
        <v>129</v>
      </c>
      <c r="CJ6" s="10" t="s">
        <v>123</v>
      </c>
      <c r="CK6" s="10" t="s">
        <v>123</v>
      </c>
      <c r="CL6" s="10" t="s">
        <v>123</v>
      </c>
      <c r="CM6" s="10" t="s">
        <v>123</v>
      </c>
      <c r="CN6" s="10" t="s">
        <v>123</v>
      </c>
      <c r="CO6" s="10">
        <v>0</v>
      </c>
      <c r="CP6" s="10">
        <v>0</v>
      </c>
      <c r="CQ6" s="10">
        <v>0</v>
      </c>
      <c r="CR6" s="10" t="s">
        <v>123</v>
      </c>
      <c r="CS6" s="10" t="s">
        <v>123</v>
      </c>
      <c r="CT6" s="10" t="s">
        <v>123</v>
      </c>
      <c r="CU6" s="10" t="s">
        <v>123</v>
      </c>
      <c r="CV6" s="10">
        <v>33</v>
      </c>
    </row>
    <row r="7" spans="1:100" x14ac:dyDescent="0.25">
      <c r="A7" s="27">
        <v>42</v>
      </c>
      <c r="B7" s="21" t="s">
        <v>158</v>
      </c>
      <c r="C7" s="21" t="s">
        <v>592</v>
      </c>
      <c r="D7" s="22" t="s">
        <v>781</v>
      </c>
      <c r="E7" s="32" t="s">
        <v>159</v>
      </c>
      <c r="F7" s="25" t="s">
        <v>160</v>
      </c>
      <c r="G7" s="31" t="s">
        <v>161</v>
      </c>
      <c r="H7" s="31" t="s">
        <v>650</v>
      </c>
      <c r="I7" s="31" t="s">
        <v>162</v>
      </c>
      <c r="J7" s="31" t="s">
        <v>163</v>
      </c>
      <c r="K7" s="10" t="s">
        <v>164</v>
      </c>
      <c r="L7" s="23" t="s">
        <v>165</v>
      </c>
      <c r="M7" s="11" t="s">
        <v>123</v>
      </c>
      <c r="N7" s="10">
        <v>6563827522</v>
      </c>
      <c r="O7" s="10" t="s">
        <v>123</v>
      </c>
      <c r="P7" s="10" t="s">
        <v>123</v>
      </c>
      <c r="Q7" s="10" t="s">
        <v>123</v>
      </c>
      <c r="R7" s="10" t="s">
        <v>123</v>
      </c>
      <c r="S7" s="10">
        <v>20130115</v>
      </c>
      <c r="T7" s="10">
        <v>2</v>
      </c>
      <c r="U7" s="10" t="s">
        <v>143</v>
      </c>
      <c r="V7" s="10" t="s">
        <v>121</v>
      </c>
      <c r="W7" s="10" t="s">
        <v>122</v>
      </c>
      <c r="X7" s="10" t="s">
        <v>123</v>
      </c>
      <c r="Y7" s="10" t="str">
        <f t="shared" si="0"/>
        <v>2013</v>
      </c>
      <c r="Z7" s="10" t="str">
        <f t="shared" si="1"/>
        <v>0115</v>
      </c>
      <c r="AA7" s="10" t="str">
        <f t="shared" si="2"/>
        <v>01</v>
      </c>
      <c r="AB7" s="10" t="str">
        <f t="shared" si="3"/>
        <v>15</v>
      </c>
      <c r="AC7" s="10" t="str">
        <f t="shared" si="4"/>
        <v>2013-01-15</v>
      </c>
      <c r="AD7" s="10" t="s">
        <v>123</v>
      </c>
      <c r="AE7" s="10" t="s">
        <v>123</v>
      </c>
      <c r="AF7" s="10" t="s">
        <v>126</v>
      </c>
      <c r="AG7" s="10" t="s">
        <v>123</v>
      </c>
      <c r="AH7" s="10" t="s">
        <v>124</v>
      </c>
      <c r="AI7" s="10" t="s">
        <v>135</v>
      </c>
      <c r="AJ7" s="10" t="s">
        <v>123</v>
      </c>
      <c r="AK7" s="10" t="s">
        <v>145</v>
      </c>
      <c r="AL7" s="10">
        <v>0</v>
      </c>
      <c r="AM7" s="10">
        <v>0</v>
      </c>
      <c r="AN7" s="10" t="s">
        <v>124</v>
      </c>
      <c r="AO7" s="33">
        <v>0</v>
      </c>
      <c r="AP7" s="10" t="s">
        <v>123</v>
      </c>
      <c r="AQ7" s="10" t="s">
        <v>123</v>
      </c>
      <c r="AR7" s="10" t="s">
        <v>123</v>
      </c>
      <c r="AS7" s="10">
        <v>0</v>
      </c>
      <c r="AT7" s="10">
        <v>0</v>
      </c>
      <c r="AU7" s="33">
        <v>0</v>
      </c>
      <c r="AV7" s="10">
        <v>0</v>
      </c>
      <c r="AW7" s="10">
        <v>0</v>
      </c>
      <c r="AX7" s="10">
        <v>0</v>
      </c>
      <c r="AY7" s="10">
        <v>4779.16</v>
      </c>
      <c r="AZ7" s="10">
        <v>4779.16</v>
      </c>
      <c r="BA7" s="10">
        <v>20130530</v>
      </c>
      <c r="BB7" s="10">
        <v>1741.5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 t="s">
        <v>123</v>
      </c>
      <c r="BI7" s="10" t="s">
        <v>123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 t="s">
        <v>124</v>
      </c>
      <c r="BP7" s="10" t="s">
        <v>128</v>
      </c>
      <c r="BQ7" s="10" t="s">
        <v>128</v>
      </c>
      <c r="BR7" s="10" t="s">
        <v>124</v>
      </c>
      <c r="BS7" s="10" t="s">
        <v>123</v>
      </c>
      <c r="BT7" s="10" t="s">
        <v>123</v>
      </c>
      <c r="BU7" s="10" t="s">
        <v>123</v>
      </c>
      <c r="BV7" s="10" t="s">
        <v>123</v>
      </c>
      <c r="BW7" s="10" t="s">
        <v>123</v>
      </c>
      <c r="BX7" s="10" t="s">
        <v>123</v>
      </c>
      <c r="BY7" s="10">
        <v>0</v>
      </c>
      <c r="BZ7" s="10" t="s">
        <v>123</v>
      </c>
      <c r="CA7" s="10" t="s">
        <v>123</v>
      </c>
      <c r="CB7" s="10">
        <v>0</v>
      </c>
      <c r="CC7" s="10" t="s">
        <v>123</v>
      </c>
      <c r="CD7" s="10">
        <v>69000000</v>
      </c>
      <c r="CE7" s="10" t="s">
        <v>123</v>
      </c>
      <c r="CF7" s="10" t="s">
        <v>123</v>
      </c>
      <c r="CG7" s="10" t="s">
        <v>123</v>
      </c>
      <c r="CH7" s="10">
        <v>26</v>
      </c>
      <c r="CI7" s="10" t="s">
        <v>123</v>
      </c>
      <c r="CJ7" s="10" t="s">
        <v>123</v>
      </c>
      <c r="CK7" s="10" t="s">
        <v>123</v>
      </c>
      <c r="CL7" s="10" t="s">
        <v>123</v>
      </c>
      <c r="CM7" s="10" t="s">
        <v>123</v>
      </c>
      <c r="CN7" s="10" t="s">
        <v>123</v>
      </c>
      <c r="CO7" s="10">
        <v>0</v>
      </c>
      <c r="CP7" s="10">
        <v>0</v>
      </c>
      <c r="CQ7" s="10">
        <v>0</v>
      </c>
      <c r="CR7" s="10" t="s">
        <v>123</v>
      </c>
      <c r="CS7" s="10" t="s">
        <v>123</v>
      </c>
      <c r="CT7" s="10" t="s">
        <v>123</v>
      </c>
      <c r="CU7" s="10" t="s">
        <v>123</v>
      </c>
      <c r="CV7" s="10">
        <v>42</v>
      </c>
    </row>
    <row r="8" spans="1:100" x14ac:dyDescent="0.25">
      <c r="A8" s="27">
        <v>1</v>
      </c>
      <c r="B8" s="21" t="s">
        <v>166</v>
      </c>
      <c r="C8" s="21" t="s">
        <v>593</v>
      </c>
      <c r="D8" s="22" t="s">
        <v>782</v>
      </c>
      <c r="E8" s="32" t="s">
        <v>167</v>
      </c>
      <c r="F8" s="25" t="s">
        <v>123</v>
      </c>
      <c r="G8" s="31" t="s">
        <v>168</v>
      </c>
      <c r="H8" s="31" t="s">
        <v>651</v>
      </c>
      <c r="I8" s="31" t="s">
        <v>114</v>
      </c>
      <c r="J8" s="31">
        <v>48083</v>
      </c>
      <c r="K8" s="10" t="s">
        <v>134</v>
      </c>
      <c r="L8" s="23" t="s">
        <v>169</v>
      </c>
      <c r="M8" s="11" t="s">
        <v>123</v>
      </c>
      <c r="N8" s="10" t="s">
        <v>170</v>
      </c>
      <c r="O8" s="10" t="s">
        <v>123</v>
      </c>
      <c r="P8" s="10" t="s">
        <v>123</v>
      </c>
      <c r="Q8" s="10" t="s">
        <v>123</v>
      </c>
      <c r="R8" s="10" t="s">
        <v>171</v>
      </c>
      <c r="S8" s="10">
        <v>19980522</v>
      </c>
      <c r="T8" s="10">
        <v>2</v>
      </c>
      <c r="U8" s="10" t="s">
        <v>120</v>
      </c>
      <c r="V8" s="10" t="s">
        <v>121</v>
      </c>
      <c r="W8" s="10" t="s">
        <v>122</v>
      </c>
      <c r="X8" s="10">
        <v>50000</v>
      </c>
      <c r="Y8" s="10" t="str">
        <f t="shared" si="0"/>
        <v>1998</v>
      </c>
      <c r="Z8" s="10" t="str">
        <f t="shared" si="1"/>
        <v>0522</v>
      </c>
      <c r="AA8" s="10" t="str">
        <f t="shared" si="2"/>
        <v>05</v>
      </c>
      <c r="AB8" s="10" t="str">
        <f t="shared" si="3"/>
        <v>22</v>
      </c>
      <c r="AC8" s="10" t="str">
        <f t="shared" si="4"/>
        <v>1998-05-22</v>
      </c>
      <c r="AD8" s="10" t="s">
        <v>123</v>
      </c>
      <c r="AE8" s="10" t="s">
        <v>153</v>
      </c>
      <c r="AF8" s="10" t="s">
        <v>126</v>
      </c>
      <c r="AG8" s="10" t="s">
        <v>123</v>
      </c>
      <c r="AH8" s="10" t="s">
        <v>124</v>
      </c>
      <c r="AI8" s="10" t="s">
        <v>135</v>
      </c>
      <c r="AJ8" s="10" t="s">
        <v>123</v>
      </c>
      <c r="AK8" s="10">
        <v>45</v>
      </c>
      <c r="AL8" s="10">
        <v>0</v>
      </c>
      <c r="AM8" s="10">
        <v>0</v>
      </c>
      <c r="AN8" s="10" t="s">
        <v>124</v>
      </c>
      <c r="AO8" s="10" t="s">
        <v>123</v>
      </c>
      <c r="AP8" s="10" t="s">
        <v>123</v>
      </c>
      <c r="AQ8" s="10" t="s">
        <v>123</v>
      </c>
      <c r="AR8" s="10" t="s">
        <v>123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1700</v>
      </c>
      <c r="AZ8" s="10">
        <v>1414574.81</v>
      </c>
      <c r="BA8" s="10">
        <v>20161118</v>
      </c>
      <c r="BB8" s="10">
        <v>1700</v>
      </c>
      <c r="BC8" s="10">
        <v>0</v>
      </c>
      <c r="BD8" s="10">
        <v>0</v>
      </c>
      <c r="BE8" s="10">
        <v>0</v>
      </c>
      <c r="BF8" s="10">
        <v>20091016</v>
      </c>
      <c r="BG8" s="10">
        <v>148.80000000000001</v>
      </c>
      <c r="BH8" s="10" t="s">
        <v>123</v>
      </c>
      <c r="BI8" s="10" t="s">
        <v>123</v>
      </c>
      <c r="BJ8" s="10">
        <v>20110131</v>
      </c>
      <c r="BK8" s="10">
        <v>0</v>
      </c>
      <c r="BL8" s="10">
        <v>0</v>
      </c>
      <c r="BM8" s="10">
        <v>0</v>
      </c>
      <c r="BN8" s="10">
        <v>0</v>
      </c>
      <c r="BO8" s="10" t="s">
        <v>124</v>
      </c>
      <c r="BP8" s="10" t="s">
        <v>128</v>
      </c>
      <c r="BQ8" s="10" t="s">
        <v>128</v>
      </c>
      <c r="BR8" s="10" t="s">
        <v>124</v>
      </c>
      <c r="BS8" s="10" t="s">
        <v>172</v>
      </c>
      <c r="BT8" s="10" t="s">
        <v>173</v>
      </c>
      <c r="BU8" s="10" t="s">
        <v>123</v>
      </c>
      <c r="BV8" s="10" t="s">
        <v>157</v>
      </c>
      <c r="BW8" s="10" t="s">
        <v>123</v>
      </c>
      <c r="BX8" s="10" t="s">
        <v>123</v>
      </c>
      <c r="BY8" s="10">
        <v>0</v>
      </c>
      <c r="BZ8" s="10" t="s">
        <v>123</v>
      </c>
      <c r="CA8" s="10" t="s">
        <v>123</v>
      </c>
      <c r="CB8" s="10">
        <v>0</v>
      </c>
      <c r="CC8" s="10" t="s">
        <v>123</v>
      </c>
      <c r="CD8" s="10">
        <v>65000000</v>
      </c>
      <c r="CE8" s="10" t="s">
        <v>123</v>
      </c>
      <c r="CF8" s="10" t="s">
        <v>123</v>
      </c>
      <c r="CG8" s="10">
        <v>12169199</v>
      </c>
      <c r="CH8" s="10">
        <v>20</v>
      </c>
      <c r="CI8" s="10" t="s">
        <v>129</v>
      </c>
      <c r="CJ8" s="10" t="s">
        <v>123</v>
      </c>
      <c r="CK8" s="10" t="s">
        <v>123</v>
      </c>
      <c r="CL8" s="10" t="s">
        <v>123</v>
      </c>
      <c r="CM8" s="10" t="s">
        <v>123</v>
      </c>
      <c r="CN8" s="10" t="s">
        <v>123</v>
      </c>
      <c r="CO8" s="10">
        <v>0</v>
      </c>
      <c r="CP8" s="10">
        <v>0</v>
      </c>
      <c r="CQ8" s="10">
        <v>0</v>
      </c>
      <c r="CR8" s="10">
        <v>1</v>
      </c>
      <c r="CS8" s="10" t="s">
        <v>123</v>
      </c>
      <c r="CT8" s="10" t="s">
        <v>123</v>
      </c>
      <c r="CU8" s="10" t="s">
        <v>123</v>
      </c>
      <c r="CV8" s="10">
        <v>1</v>
      </c>
    </row>
    <row r="9" spans="1:100" x14ac:dyDescent="0.25">
      <c r="A9" s="27">
        <v>56</v>
      </c>
      <c r="B9" s="21" t="s">
        <v>174</v>
      </c>
      <c r="C9" s="21" t="s">
        <v>594</v>
      </c>
      <c r="D9" s="22" t="s">
        <v>570</v>
      </c>
      <c r="E9" s="32" t="s">
        <v>175</v>
      </c>
      <c r="F9" s="25" t="s">
        <v>176</v>
      </c>
      <c r="G9" s="31" t="s">
        <v>177</v>
      </c>
      <c r="H9" s="31" t="s">
        <v>652</v>
      </c>
      <c r="I9" s="31" t="s">
        <v>178</v>
      </c>
      <c r="J9" s="31" t="s">
        <v>156</v>
      </c>
      <c r="K9" s="10" t="s">
        <v>179</v>
      </c>
      <c r="L9" s="23" t="s">
        <v>117</v>
      </c>
      <c r="M9" s="11" t="s">
        <v>117</v>
      </c>
      <c r="N9" s="10" t="s">
        <v>118</v>
      </c>
      <c r="O9" s="10" t="s">
        <v>118</v>
      </c>
      <c r="P9" s="10" t="s">
        <v>119</v>
      </c>
      <c r="Q9" s="10" t="s">
        <v>119</v>
      </c>
      <c r="R9" s="10" t="s">
        <v>118</v>
      </c>
      <c r="S9" s="10">
        <v>20200205</v>
      </c>
      <c r="T9" s="10">
        <v>2</v>
      </c>
      <c r="U9" s="10" t="s">
        <v>120</v>
      </c>
      <c r="V9" s="10" t="s">
        <v>121</v>
      </c>
      <c r="W9" s="10" t="s">
        <v>122</v>
      </c>
      <c r="X9" s="10">
        <v>3000000</v>
      </c>
      <c r="Y9" s="10" t="str">
        <f t="shared" si="0"/>
        <v>2020</v>
      </c>
      <c r="Z9" s="10" t="str">
        <f t="shared" si="1"/>
        <v>0205</v>
      </c>
      <c r="AA9" s="10" t="str">
        <f t="shared" si="2"/>
        <v>02</v>
      </c>
      <c r="AB9" s="10" t="str">
        <f t="shared" si="3"/>
        <v>05</v>
      </c>
      <c r="AC9" s="10" t="str">
        <f t="shared" si="4"/>
        <v>2020-02-05</v>
      </c>
      <c r="AD9" s="10" t="s">
        <v>123</v>
      </c>
      <c r="AE9" s="10" t="s">
        <v>125</v>
      </c>
      <c r="AF9" s="10" t="s">
        <v>126</v>
      </c>
      <c r="AG9" s="10" t="s">
        <v>123</v>
      </c>
      <c r="AH9" s="10" t="s">
        <v>124</v>
      </c>
      <c r="AI9" s="10" t="s">
        <v>135</v>
      </c>
      <c r="AJ9" s="10" t="s">
        <v>123</v>
      </c>
      <c r="AK9" s="10">
        <v>5</v>
      </c>
      <c r="AL9" s="10">
        <v>0</v>
      </c>
      <c r="AM9" s="10">
        <v>0</v>
      </c>
      <c r="AN9" s="10" t="s">
        <v>124</v>
      </c>
      <c r="AO9" s="33">
        <v>0</v>
      </c>
      <c r="AP9" s="10" t="s">
        <v>123</v>
      </c>
      <c r="AQ9" s="10" t="s">
        <v>123</v>
      </c>
      <c r="AR9" s="10" t="s">
        <v>123</v>
      </c>
      <c r="AS9" s="10">
        <v>0</v>
      </c>
      <c r="AT9" s="10">
        <v>0</v>
      </c>
      <c r="AU9" s="33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 t="s">
        <v>123</v>
      </c>
      <c r="BI9" s="10" t="s">
        <v>123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 t="s">
        <v>124</v>
      </c>
      <c r="BP9" s="10" t="s">
        <v>128</v>
      </c>
      <c r="BQ9" s="10" t="s">
        <v>128</v>
      </c>
      <c r="BR9" s="10" t="s">
        <v>124</v>
      </c>
      <c r="BS9" s="10" t="s">
        <v>123</v>
      </c>
      <c r="BT9" s="10" t="s">
        <v>123</v>
      </c>
      <c r="BU9" s="10" t="s">
        <v>123</v>
      </c>
      <c r="BV9" s="10" t="s">
        <v>123</v>
      </c>
      <c r="BW9" s="10" t="s">
        <v>123</v>
      </c>
      <c r="BX9" s="10" t="s">
        <v>123</v>
      </c>
      <c r="BY9" s="10">
        <v>0</v>
      </c>
      <c r="BZ9" s="10" t="s">
        <v>123</v>
      </c>
      <c r="CA9" s="10" t="s">
        <v>123</v>
      </c>
      <c r="CB9" s="10">
        <v>0</v>
      </c>
      <c r="CC9" s="10" t="s">
        <v>123</v>
      </c>
      <c r="CD9" s="10">
        <v>69000000</v>
      </c>
      <c r="CE9" s="10" t="s">
        <v>123</v>
      </c>
      <c r="CF9" s="10" t="s">
        <v>123</v>
      </c>
      <c r="CG9" s="10" t="s">
        <v>123</v>
      </c>
      <c r="CH9" s="10">
        <v>26</v>
      </c>
      <c r="CI9" s="10" t="s">
        <v>129</v>
      </c>
      <c r="CJ9" s="10" t="s">
        <v>123</v>
      </c>
      <c r="CK9" s="10" t="s">
        <v>123</v>
      </c>
      <c r="CL9" s="10" t="s">
        <v>123</v>
      </c>
      <c r="CM9" s="10" t="s">
        <v>123</v>
      </c>
      <c r="CN9" s="10" t="s">
        <v>123</v>
      </c>
      <c r="CO9" s="10">
        <v>0</v>
      </c>
      <c r="CP9" s="10">
        <v>0</v>
      </c>
      <c r="CQ9" s="10">
        <v>0</v>
      </c>
      <c r="CR9" s="10" t="s">
        <v>123</v>
      </c>
      <c r="CS9" s="10" t="s">
        <v>123</v>
      </c>
      <c r="CT9" s="10" t="s">
        <v>180</v>
      </c>
      <c r="CU9" s="10" t="s">
        <v>123</v>
      </c>
      <c r="CV9" s="10">
        <v>56</v>
      </c>
    </row>
    <row r="10" spans="1:100" x14ac:dyDescent="0.25">
      <c r="A10" s="27">
        <v>2</v>
      </c>
      <c r="B10" s="21" t="s">
        <v>181</v>
      </c>
      <c r="C10" s="21" t="s">
        <v>595</v>
      </c>
      <c r="D10" s="22" t="s">
        <v>783</v>
      </c>
      <c r="E10" s="32" t="s">
        <v>182</v>
      </c>
      <c r="F10" s="25" t="s">
        <v>183</v>
      </c>
      <c r="G10" s="31" t="s">
        <v>184</v>
      </c>
      <c r="H10" s="31" t="s">
        <v>653</v>
      </c>
      <c r="I10" s="31" t="s">
        <v>123</v>
      </c>
      <c r="J10" s="31">
        <v>1938</v>
      </c>
      <c r="K10" s="10" t="s">
        <v>134</v>
      </c>
      <c r="L10" s="23" t="s">
        <v>123</v>
      </c>
      <c r="M10" s="11" t="s">
        <v>123</v>
      </c>
      <c r="N10" s="10" t="s">
        <v>185</v>
      </c>
      <c r="O10" s="10" t="s">
        <v>123</v>
      </c>
      <c r="P10" s="10" t="s">
        <v>123</v>
      </c>
      <c r="Q10" s="10" t="s">
        <v>123</v>
      </c>
      <c r="R10" s="10" t="s">
        <v>186</v>
      </c>
      <c r="S10" s="10">
        <v>20010212</v>
      </c>
      <c r="T10" s="10">
        <v>2</v>
      </c>
      <c r="U10" s="10" t="s">
        <v>187</v>
      </c>
      <c r="V10" s="10" t="s">
        <v>121</v>
      </c>
      <c r="W10" s="10" t="s">
        <v>122</v>
      </c>
      <c r="X10" s="10">
        <v>1000</v>
      </c>
      <c r="Y10" s="10" t="str">
        <f t="shared" si="0"/>
        <v>2001</v>
      </c>
      <c r="Z10" s="10" t="str">
        <f t="shared" si="1"/>
        <v>0212</v>
      </c>
      <c r="AA10" s="10" t="str">
        <f t="shared" si="2"/>
        <v>02</v>
      </c>
      <c r="AB10" s="10" t="str">
        <f t="shared" si="3"/>
        <v>12</v>
      </c>
      <c r="AC10" s="10" t="str">
        <f t="shared" si="4"/>
        <v>2001-02-12</v>
      </c>
      <c r="AD10" s="10" t="s">
        <v>123</v>
      </c>
      <c r="AE10" s="10" t="s">
        <v>125</v>
      </c>
      <c r="AF10" s="10" t="s">
        <v>126</v>
      </c>
      <c r="AG10" s="10" t="s">
        <v>123</v>
      </c>
      <c r="AH10" s="10" t="s">
        <v>124</v>
      </c>
      <c r="AI10" s="10" t="s">
        <v>188</v>
      </c>
      <c r="AJ10" s="10" t="s">
        <v>123</v>
      </c>
      <c r="AK10" s="10">
        <v>7</v>
      </c>
      <c r="AL10" s="10">
        <v>0</v>
      </c>
      <c r="AM10" s="10">
        <v>0</v>
      </c>
      <c r="AN10" s="10" t="s">
        <v>124</v>
      </c>
      <c r="AO10" s="33">
        <v>0</v>
      </c>
      <c r="AP10" s="10" t="s">
        <v>123</v>
      </c>
      <c r="AQ10" s="10" t="s">
        <v>123</v>
      </c>
      <c r="AR10" s="10" t="s">
        <v>123</v>
      </c>
      <c r="AS10" s="10">
        <v>0</v>
      </c>
      <c r="AT10" s="10">
        <v>0</v>
      </c>
      <c r="AU10" s="33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16744.98</v>
      </c>
      <c r="BA10" s="10">
        <v>20010525</v>
      </c>
      <c r="BB10" s="10">
        <v>225.5</v>
      </c>
      <c r="BC10" s="10">
        <v>0</v>
      </c>
      <c r="BD10" s="10">
        <v>0</v>
      </c>
      <c r="BE10" s="10">
        <v>0</v>
      </c>
      <c r="BF10" s="10">
        <v>20010607</v>
      </c>
      <c r="BG10" s="10">
        <v>225.5</v>
      </c>
      <c r="BH10" s="10" t="s">
        <v>123</v>
      </c>
      <c r="BI10" s="10" t="s">
        <v>123</v>
      </c>
      <c r="BJ10" s="10">
        <v>20110131</v>
      </c>
      <c r="BK10" s="10">
        <v>0</v>
      </c>
      <c r="BL10" s="10">
        <v>0</v>
      </c>
      <c r="BM10" s="10">
        <v>0</v>
      </c>
      <c r="BN10" s="10">
        <v>0</v>
      </c>
      <c r="BO10" s="10" t="s">
        <v>124</v>
      </c>
      <c r="BP10" s="10" t="s">
        <v>128</v>
      </c>
      <c r="BQ10" s="10" t="s">
        <v>128</v>
      </c>
      <c r="BR10" s="10" t="s">
        <v>124</v>
      </c>
      <c r="BS10" s="10" t="s">
        <v>123</v>
      </c>
      <c r="BT10" s="10" t="s">
        <v>154</v>
      </c>
      <c r="BU10" s="10" t="s">
        <v>123</v>
      </c>
      <c r="BV10" s="10" t="s">
        <v>123</v>
      </c>
      <c r="BW10" s="10" t="s">
        <v>123</v>
      </c>
      <c r="BX10" s="10" t="s">
        <v>123</v>
      </c>
      <c r="BY10" s="10">
        <v>0</v>
      </c>
      <c r="BZ10" s="10" t="s">
        <v>123</v>
      </c>
      <c r="CA10" s="10" t="s">
        <v>123</v>
      </c>
      <c r="CB10" s="10">
        <v>0</v>
      </c>
      <c r="CC10" s="10" t="s">
        <v>123</v>
      </c>
      <c r="CD10" s="10">
        <v>0</v>
      </c>
      <c r="CE10" s="10" t="s">
        <v>123</v>
      </c>
      <c r="CF10" s="10" t="s">
        <v>123</v>
      </c>
      <c r="CG10" s="10" t="s">
        <v>123</v>
      </c>
      <c r="CH10" s="10">
        <v>20</v>
      </c>
      <c r="CI10" s="10" t="s">
        <v>129</v>
      </c>
      <c r="CJ10" s="10" t="s">
        <v>123</v>
      </c>
      <c r="CK10" s="10" t="s">
        <v>123</v>
      </c>
      <c r="CL10" s="10" t="s">
        <v>123</v>
      </c>
      <c r="CM10" s="10" t="s">
        <v>123</v>
      </c>
      <c r="CN10" s="10" t="s">
        <v>123</v>
      </c>
      <c r="CO10" s="10">
        <v>0</v>
      </c>
      <c r="CP10" s="10">
        <v>0</v>
      </c>
      <c r="CQ10" s="10">
        <v>0</v>
      </c>
      <c r="CR10" s="10" t="s">
        <v>189</v>
      </c>
      <c r="CS10" s="10" t="s">
        <v>123</v>
      </c>
      <c r="CT10" s="10" t="s">
        <v>123</v>
      </c>
      <c r="CU10" s="10" t="s">
        <v>123</v>
      </c>
      <c r="CV10" s="10">
        <v>2</v>
      </c>
    </row>
    <row r="11" spans="1:100" x14ac:dyDescent="0.25">
      <c r="A11" s="27">
        <v>57</v>
      </c>
      <c r="B11" s="21" t="s">
        <v>190</v>
      </c>
      <c r="C11" s="21" t="s">
        <v>596</v>
      </c>
      <c r="D11" s="22" t="s">
        <v>784</v>
      </c>
      <c r="E11" s="32" t="s">
        <v>191</v>
      </c>
      <c r="F11" s="25" t="s">
        <v>192</v>
      </c>
      <c r="G11" s="31" t="s">
        <v>193</v>
      </c>
      <c r="H11" s="31" t="s">
        <v>654</v>
      </c>
      <c r="I11" s="31" t="s">
        <v>123</v>
      </c>
      <c r="J11" s="31">
        <v>90796</v>
      </c>
      <c r="K11" s="10" t="s">
        <v>194</v>
      </c>
      <c r="L11" s="23" t="s">
        <v>123</v>
      </c>
      <c r="M11" s="11" t="s">
        <v>123</v>
      </c>
      <c r="N11" s="10" t="s">
        <v>118</v>
      </c>
      <c r="O11" s="10" t="s">
        <v>123</v>
      </c>
      <c r="P11" s="10" t="s">
        <v>123</v>
      </c>
      <c r="Q11" s="10" t="s">
        <v>123</v>
      </c>
      <c r="R11" s="10" t="s">
        <v>123</v>
      </c>
      <c r="S11" s="10">
        <v>20200901</v>
      </c>
      <c r="T11" s="10">
        <v>2</v>
      </c>
      <c r="U11" s="10" t="s">
        <v>120</v>
      </c>
      <c r="V11" s="10" t="s">
        <v>121</v>
      </c>
      <c r="W11" s="10" t="s">
        <v>122</v>
      </c>
      <c r="X11" s="10" t="s">
        <v>123</v>
      </c>
      <c r="Y11" s="10" t="str">
        <f t="shared" si="0"/>
        <v>2020</v>
      </c>
      <c r="Z11" s="10" t="str">
        <f t="shared" si="1"/>
        <v>0901</v>
      </c>
      <c r="AA11" s="10" t="str">
        <f t="shared" si="2"/>
        <v>09</v>
      </c>
      <c r="AB11" s="10" t="str">
        <f t="shared" si="3"/>
        <v>01</v>
      </c>
      <c r="AC11" s="10" t="str">
        <f t="shared" si="4"/>
        <v>2020-09-01</v>
      </c>
      <c r="AD11" s="10" t="s">
        <v>123</v>
      </c>
      <c r="AE11" s="10" t="s">
        <v>125</v>
      </c>
      <c r="AF11" s="10" t="s">
        <v>126</v>
      </c>
      <c r="AG11" s="10" t="s">
        <v>123</v>
      </c>
      <c r="AH11" s="10" t="s">
        <v>124</v>
      </c>
      <c r="AI11" s="10" t="s">
        <v>135</v>
      </c>
      <c r="AJ11" s="10" t="s">
        <v>123</v>
      </c>
      <c r="AK11" s="10">
        <v>30</v>
      </c>
      <c r="AL11" s="10">
        <v>0</v>
      </c>
      <c r="AM11" s="10">
        <v>0</v>
      </c>
      <c r="AN11" s="10" t="s">
        <v>124</v>
      </c>
      <c r="AO11" s="33">
        <v>0</v>
      </c>
      <c r="AP11" s="10" t="s">
        <v>123</v>
      </c>
      <c r="AQ11" s="10" t="s">
        <v>123</v>
      </c>
      <c r="AR11" s="10" t="s">
        <v>123</v>
      </c>
      <c r="AS11" s="10">
        <v>0</v>
      </c>
      <c r="AT11" s="10">
        <v>0</v>
      </c>
      <c r="AU11" s="33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123</v>
      </c>
      <c r="BI11" s="10" t="s">
        <v>123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 t="s">
        <v>124</v>
      </c>
      <c r="BP11" s="10" t="s">
        <v>128</v>
      </c>
      <c r="BQ11" s="10" t="s">
        <v>128</v>
      </c>
      <c r="BR11" s="10" t="s">
        <v>124</v>
      </c>
      <c r="BS11" s="10" t="s">
        <v>123</v>
      </c>
      <c r="BT11" s="10" t="s">
        <v>123</v>
      </c>
      <c r="BU11" s="10" t="s">
        <v>123</v>
      </c>
      <c r="BV11" s="10" t="s">
        <v>123</v>
      </c>
      <c r="BW11" s="10" t="s">
        <v>123</v>
      </c>
      <c r="BX11" s="10" t="s">
        <v>123</v>
      </c>
      <c r="BY11" s="10">
        <v>0</v>
      </c>
      <c r="BZ11" s="10" t="s">
        <v>123</v>
      </c>
      <c r="CA11" s="10" t="s">
        <v>123</v>
      </c>
      <c r="CB11" s="10">
        <v>0</v>
      </c>
      <c r="CC11" s="10" t="s">
        <v>123</v>
      </c>
      <c r="CD11" s="10">
        <v>69000000</v>
      </c>
      <c r="CE11" s="10" t="s">
        <v>123</v>
      </c>
      <c r="CF11" s="10" t="s">
        <v>123</v>
      </c>
      <c r="CG11" s="10" t="s">
        <v>123</v>
      </c>
      <c r="CH11" s="10">
        <v>26</v>
      </c>
      <c r="CI11" s="10" t="s">
        <v>129</v>
      </c>
      <c r="CJ11" s="10" t="s">
        <v>123</v>
      </c>
      <c r="CK11" s="10" t="s">
        <v>123</v>
      </c>
      <c r="CL11" s="10" t="s">
        <v>123</v>
      </c>
      <c r="CM11" s="10" t="s">
        <v>123</v>
      </c>
      <c r="CN11" s="10" t="s">
        <v>123</v>
      </c>
      <c r="CO11" s="10">
        <v>0</v>
      </c>
      <c r="CP11" s="10">
        <v>0</v>
      </c>
      <c r="CQ11" s="10">
        <v>0</v>
      </c>
      <c r="CR11" s="10" t="s">
        <v>123</v>
      </c>
      <c r="CS11" s="10" t="s">
        <v>123</v>
      </c>
      <c r="CT11" s="10" t="s">
        <v>123</v>
      </c>
      <c r="CU11" s="10" t="s">
        <v>123</v>
      </c>
      <c r="CV11" s="10">
        <v>57</v>
      </c>
    </row>
    <row r="12" spans="1:100" x14ac:dyDescent="0.25">
      <c r="A12" s="27">
        <v>3</v>
      </c>
      <c r="B12" s="21" t="s">
        <v>195</v>
      </c>
      <c r="C12" s="21" t="s">
        <v>597</v>
      </c>
      <c r="D12" s="22" t="s">
        <v>785</v>
      </c>
      <c r="E12" s="32" t="s">
        <v>196</v>
      </c>
      <c r="F12" s="25" t="s">
        <v>123</v>
      </c>
      <c r="G12" s="31" t="s">
        <v>197</v>
      </c>
      <c r="H12" s="31" t="s">
        <v>655</v>
      </c>
      <c r="I12" s="31" t="s">
        <v>123</v>
      </c>
      <c r="J12" s="31">
        <v>32650</v>
      </c>
      <c r="K12" s="10" t="s">
        <v>194</v>
      </c>
      <c r="L12" s="23" t="s">
        <v>198</v>
      </c>
      <c r="M12" s="11" t="s">
        <v>123</v>
      </c>
      <c r="N12" s="10" t="s">
        <v>118</v>
      </c>
      <c r="O12" s="10" t="s">
        <v>123</v>
      </c>
      <c r="P12" s="10" t="s">
        <v>123</v>
      </c>
      <c r="Q12" s="10" t="s">
        <v>123</v>
      </c>
      <c r="R12" s="10" t="s">
        <v>123</v>
      </c>
      <c r="S12" s="10">
        <v>20010607</v>
      </c>
      <c r="T12" s="10">
        <v>2</v>
      </c>
      <c r="U12" s="10" t="s">
        <v>143</v>
      </c>
      <c r="V12" s="10" t="s">
        <v>121</v>
      </c>
      <c r="W12" s="10" t="s">
        <v>122</v>
      </c>
      <c r="X12" s="10">
        <v>50000</v>
      </c>
      <c r="Y12" s="10" t="str">
        <f t="shared" si="0"/>
        <v>2001</v>
      </c>
      <c r="Z12" s="10" t="str">
        <f t="shared" si="1"/>
        <v>0607</v>
      </c>
      <c r="AA12" s="10" t="str">
        <f t="shared" si="2"/>
        <v>06</v>
      </c>
      <c r="AB12" s="10" t="str">
        <f t="shared" si="3"/>
        <v>07</v>
      </c>
      <c r="AC12" s="10" t="str">
        <f t="shared" si="4"/>
        <v>2001-06-07</v>
      </c>
      <c r="AD12" s="10" t="s">
        <v>123</v>
      </c>
      <c r="AE12" s="10" t="s">
        <v>125</v>
      </c>
      <c r="AF12" s="10" t="s">
        <v>126</v>
      </c>
      <c r="AG12" s="10" t="s">
        <v>123</v>
      </c>
      <c r="AH12" s="10" t="s">
        <v>124</v>
      </c>
      <c r="AI12" s="10" t="s">
        <v>135</v>
      </c>
      <c r="AJ12" s="10" t="s">
        <v>123</v>
      </c>
      <c r="AK12" s="10">
        <v>30</v>
      </c>
      <c r="AL12" s="10">
        <v>0</v>
      </c>
      <c r="AM12" s="10">
        <v>0</v>
      </c>
      <c r="AN12" s="10" t="s">
        <v>124</v>
      </c>
      <c r="AO12" s="33">
        <v>0</v>
      </c>
      <c r="AP12" s="10" t="s">
        <v>123</v>
      </c>
      <c r="AQ12" s="10" t="s">
        <v>123</v>
      </c>
      <c r="AR12" s="10" t="s">
        <v>123</v>
      </c>
      <c r="AS12" s="10">
        <v>0</v>
      </c>
      <c r="AT12" s="10">
        <v>0</v>
      </c>
      <c r="AU12" s="33">
        <v>0</v>
      </c>
      <c r="AV12" s="10">
        <v>0</v>
      </c>
      <c r="AW12" s="10">
        <v>0</v>
      </c>
      <c r="AX12" s="10">
        <v>0</v>
      </c>
      <c r="AY12" s="10">
        <v>1861.84</v>
      </c>
      <c r="AZ12" s="10">
        <v>47634.54</v>
      </c>
      <c r="BA12" s="10">
        <v>20131107</v>
      </c>
      <c r="BB12" s="10">
        <v>1861.84</v>
      </c>
      <c r="BC12" s="10">
        <v>0</v>
      </c>
      <c r="BD12" s="10">
        <v>0</v>
      </c>
      <c r="BE12" s="10">
        <v>0</v>
      </c>
      <c r="BF12" s="10">
        <v>20100226</v>
      </c>
      <c r="BG12" s="10">
        <v>137</v>
      </c>
      <c r="BH12" s="10" t="s">
        <v>123</v>
      </c>
      <c r="BI12" s="10" t="s">
        <v>123</v>
      </c>
      <c r="BJ12" s="10">
        <v>20110131</v>
      </c>
      <c r="BK12" s="10">
        <v>0</v>
      </c>
      <c r="BL12" s="10">
        <v>0</v>
      </c>
      <c r="BM12" s="10">
        <v>0</v>
      </c>
      <c r="BN12" s="10">
        <v>0</v>
      </c>
      <c r="BO12" s="10" t="s">
        <v>124</v>
      </c>
      <c r="BP12" s="10" t="s">
        <v>128</v>
      </c>
      <c r="BQ12" s="10" t="s">
        <v>128</v>
      </c>
      <c r="BR12" s="10" t="s">
        <v>124</v>
      </c>
      <c r="BS12" s="10" t="s">
        <v>123</v>
      </c>
      <c r="BT12" s="10" t="s">
        <v>173</v>
      </c>
      <c r="BU12" s="10" t="s">
        <v>123</v>
      </c>
      <c r="BV12" s="10" t="s">
        <v>123</v>
      </c>
      <c r="BW12" s="10" t="s">
        <v>123</v>
      </c>
      <c r="BX12" s="10" t="s">
        <v>123</v>
      </c>
      <c r="BY12" s="10">
        <v>0</v>
      </c>
      <c r="BZ12" s="10" t="s">
        <v>123</v>
      </c>
      <c r="CA12" s="10" t="s">
        <v>123</v>
      </c>
      <c r="CB12" s="10">
        <v>0</v>
      </c>
      <c r="CC12" s="10" t="s">
        <v>123</v>
      </c>
      <c r="CD12" s="10">
        <v>0</v>
      </c>
      <c r="CE12" s="10" t="s">
        <v>123</v>
      </c>
      <c r="CF12" s="10" t="s">
        <v>123</v>
      </c>
      <c r="CG12" s="10" t="s">
        <v>123</v>
      </c>
      <c r="CH12" s="10">
        <v>26</v>
      </c>
      <c r="CI12" s="10" t="s">
        <v>199</v>
      </c>
      <c r="CJ12" s="10" t="s">
        <v>123</v>
      </c>
      <c r="CK12" s="10" t="s">
        <v>123</v>
      </c>
      <c r="CL12" s="10" t="s">
        <v>123</v>
      </c>
      <c r="CM12" s="10" t="s">
        <v>123</v>
      </c>
      <c r="CN12" s="10" t="s">
        <v>123</v>
      </c>
      <c r="CO12" s="10">
        <v>0</v>
      </c>
      <c r="CP12" s="10">
        <v>0</v>
      </c>
      <c r="CQ12" s="10">
        <v>0</v>
      </c>
      <c r="CR12" s="10" t="s">
        <v>200</v>
      </c>
      <c r="CS12" s="10" t="s">
        <v>123</v>
      </c>
      <c r="CT12" s="10" t="s">
        <v>123</v>
      </c>
      <c r="CU12" s="10" t="s">
        <v>123</v>
      </c>
      <c r="CV12" s="10">
        <v>3</v>
      </c>
    </row>
    <row r="13" spans="1:100" x14ac:dyDescent="0.25">
      <c r="A13" s="27">
        <v>51</v>
      </c>
      <c r="B13" s="21" t="s">
        <v>201</v>
      </c>
      <c r="C13" s="21" t="s">
        <v>598</v>
      </c>
      <c r="D13" s="22" t="s">
        <v>786</v>
      </c>
      <c r="E13" s="32" t="s">
        <v>202</v>
      </c>
      <c r="F13" s="25" t="s">
        <v>111</v>
      </c>
      <c r="G13" s="31" t="s">
        <v>203</v>
      </c>
      <c r="H13" s="31" t="s">
        <v>656</v>
      </c>
      <c r="I13" s="31" t="s">
        <v>114</v>
      </c>
      <c r="J13" s="31">
        <v>48321</v>
      </c>
      <c r="K13" s="10" t="s">
        <v>134</v>
      </c>
      <c r="L13" s="23" t="s">
        <v>204</v>
      </c>
      <c r="M13" s="11" t="s">
        <v>117</v>
      </c>
      <c r="N13" s="10" t="s">
        <v>118</v>
      </c>
      <c r="O13" s="10" t="s">
        <v>118</v>
      </c>
      <c r="P13" s="10" t="s">
        <v>119</v>
      </c>
      <c r="Q13" s="10" t="s">
        <v>119</v>
      </c>
      <c r="R13" s="10" t="s">
        <v>123</v>
      </c>
      <c r="S13" s="10">
        <v>20191111</v>
      </c>
      <c r="T13" s="10">
        <v>2</v>
      </c>
      <c r="U13" s="10" t="s">
        <v>120</v>
      </c>
      <c r="V13" s="10" t="s">
        <v>121</v>
      </c>
      <c r="W13" s="10" t="s">
        <v>122</v>
      </c>
      <c r="X13" s="10" t="s">
        <v>123</v>
      </c>
      <c r="Y13" s="10" t="str">
        <f t="shared" si="0"/>
        <v>2019</v>
      </c>
      <c r="Z13" s="10" t="str">
        <f t="shared" si="1"/>
        <v>1111</v>
      </c>
      <c r="AA13" s="10" t="str">
        <f t="shared" si="2"/>
        <v>11</v>
      </c>
      <c r="AB13" s="10" t="str">
        <f t="shared" si="3"/>
        <v>11</v>
      </c>
      <c r="AC13" s="10" t="str">
        <f t="shared" si="4"/>
        <v>2019-11-11</v>
      </c>
      <c r="AD13" s="10" t="s">
        <v>123</v>
      </c>
      <c r="AE13" s="10" t="s">
        <v>125</v>
      </c>
      <c r="AF13" s="10" t="s">
        <v>126</v>
      </c>
      <c r="AG13" s="10" t="s">
        <v>123</v>
      </c>
      <c r="AH13" s="10" t="s">
        <v>124</v>
      </c>
      <c r="AI13" s="10" t="s">
        <v>135</v>
      </c>
      <c r="AJ13" s="10" t="s">
        <v>123</v>
      </c>
      <c r="AK13" s="10">
        <v>5</v>
      </c>
      <c r="AL13" s="10">
        <v>0</v>
      </c>
      <c r="AM13" s="10">
        <v>0</v>
      </c>
      <c r="AN13" s="10" t="s">
        <v>124</v>
      </c>
      <c r="AO13" s="33">
        <v>0</v>
      </c>
      <c r="AP13" s="10" t="s">
        <v>123</v>
      </c>
      <c r="AQ13" s="10" t="s">
        <v>123</v>
      </c>
      <c r="AR13" s="10" t="s">
        <v>123</v>
      </c>
      <c r="AS13" s="10">
        <v>0</v>
      </c>
      <c r="AT13" s="10">
        <v>0</v>
      </c>
      <c r="AU13" s="33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123</v>
      </c>
      <c r="BI13" s="10" t="s">
        <v>123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 t="s">
        <v>124</v>
      </c>
      <c r="BP13" s="10" t="s">
        <v>128</v>
      </c>
      <c r="BQ13" s="10" t="s">
        <v>128</v>
      </c>
      <c r="BR13" s="10" t="s">
        <v>124</v>
      </c>
      <c r="BS13" s="10" t="s">
        <v>123</v>
      </c>
      <c r="BT13" s="10" t="s">
        <v>123</v>
      </c>
      <c r="BU13" s="10" t="s">
        <v>123</v>
      </c>
      <c r="BV13" s="10" t="s">
        <v>123</v>
      </c>
      <c r="BW13" s="10" t="s">
        <v>123</v>
      </c>
      <c r="BX13" s="10" t="s">
        <v>123</v>
      </c>
      <c r="BY13" s="10">
        <v>0</v>
      </c>
      <c r="BZ13" s="10" t="s">
        <v>123</v>
      </c>
      <c r="CA13" s="10" t="s">
        <v>123</v>
      </c>
      <c r="CB13" s="10">
        <v>0</v>
      </c>
      <c r="CC13" s="10" t="s">
        <v>123</v>
      </c>
      <c r="CD13" s="10">
        <v>69000000</v>
      </c>
      <c r="CE13" s="10" t="s">
        <v>123</v>
      </c>
      <c r="CF13" s="10" t="s">
        <v>123</v>
      </c>
      <c r="CG13" s="10" t="s">
        <v>123</v>
      </c>
      <c r="CH13" s="10">
        <v>26</v>
      </c>
      <c r="CI13" s="10" t="s">
        <v>129</v>
      </c>
      <c r="CJ13" s="10" t="s">
        <v>123</v>
      </c>
      <c r="CK13" s="10" t="s">
        <v>123</v>
      </c>
      <c r="CL13" s="10" t="s">
        <v>123</v>
      </c>
      <c r="CM13" s="10" t="s">
        <v>123</v>
      </c>
      <c r="CN13" s="10" t="s">
        <v>123</v>
      </c>
      <c r="CO13" s="10">
        <v>0</v>
      </c>
      <c r="CP13" s="10">
        <v>0</v>
      </c>
      <c r="CQ13" s="10">
        <v>0</v>
      </c>
      <c r="CR13" s="10" t="s">
        <v>123</v>
      </c>
      <c r="CS13" s="10" t="s">
        <v>123</v>
      </c>
      <c r="CT13" s="10" t="s">
        <v>117</v>
      </c>
      <c r="CU13" s="10" t="s">
        <v>123</v>
      </c>
      <c r="CV13" s="10">
        <v>51</v>
      </c>
    </row>
    <row r="14" spans="1:100" x14ac:dyDescent="0.25">
      <c r="A14" s="27">
        <v>4</v>
      </c>
      <c r="B14" s="21" t="s">
        <v>205</v>
      </c>
      <c r="C14" s="21" t="s">
        <v>599</v>
      </c>
      <c r="D14" s="22" t="s">
        <v>787</v>
      </c>
      <c r="E14" s="32" t="s">
        <v>206</v>
      </c>
      <c r="F14" s="25" t="s">
        <v>207</v>
      </c>
      <c r="G14" s="31" t="s">
        <v>208</v>
      </c>
      <c r="H14" s="31" t="s">
        <v>657</v>
      </c>
      <c r="I14" s="31" t="s">
        <v>123</v>
      </c>
      <c r="J14" s="31">
        <v>45840</v>
      </c>
      <c r="K14" s="10" t="s">
        <v>134</v>
      </c>
      <c r="L14" s="23" t="s">
        <v>123</v>
      </c>
      <c r="M14" s="11" t="s">
        <v>123</v>
      </c>
      <c r="N14" s="10" t="s">
        <v>209</v>
      </c>
      <c r="O14" s="10" t="s">
        <v>123</v>
      </c>
      <c r="P14" s="10" t="s">
        <v>123</v>
      </c>
      <c r="Q14" s="10" t="s">
        <v>123</v>
      </c>
      <c r="R14" s="10" t="s">
        <v>210</v>
      </c>
      <c r="S14" s="10">
        <v>19980522</v>
      </c>
      <c r="T14" s="10">
        <v>2</v>
      </c>
      <c r="U14" s="10" t="s">
        <v>120</v>
      </c>
      <c r="V14" s="10" t="s">
        <v>121</v>
      </c>
      <c r="W14" s="10" t="s">
        <v>122</v>
      </c>
      <c r="X14" s="10" t="s">
        <v>123</v>
      </c>
      <c r="Y14" s="10" t="str">
        <f t="shared" si="0"/>
        <v>1998</v>
      </c>
      <c r="Z14" s="10" t="str">
        <f t="shared" si="1"/>
        <v>0522</v>
      </c>
      <c r="AA14" s="10" t="str">
        <f t="shared" si="2"/>
        <v>05</v>
      </c>
      <c r="AB14" s="10" t="str">
        <f t="shared" si="3"/>
        <v>22</v>
      </c>
      <c r="AC14" s="10" t="str">
        <f t="shared" si="4"/>
        <v>1998-05-22</v>
      </c>
      <c r="AD14" s="10" t="s">
        <v>123</v>
      </c>
      <c r="AE14" s="10" t="s">
        <v>125</v>
      </c>
      <c r="AF14" s="10" t="s">
        <v>126</v>
      </c>
      <c r="AG14" s="10" t="s">
        <v>123</v>
      </c>
      <c r="AH14" s="10" t="s">
        <v>124</v>
      </c>
      <c r="AI14" s="10" t="s">
        <v>188</v>
      </c>
      <c r="AJ14" s="10" t="s">
        <v>123</v>
      </c>
      <c r="AK14" s="10">
        <v>30</v>
      </c>
      <c r="AL14" s="10">
        <v>0</v>
      </c>
      <c r="AM14" s="10">
        <v>0</v>
      </c>
      <c r="AN14" s="10" t="s">
        <v>124</v>
      </c>
      <c r="AO14" s="10" t="s">
        <v>123</v>
      </c>
      <c r="AP14" s="10" t="s">
        <v>123</v>
      </c>
      <c r="AQ14" s="10" t="s">
        <v>123</v>
      </c>
      <c r="AR14" s="10" t="s">
        <v>123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3954.39</v>
      </c>
      <c r="BA14" s="10">
        <v>20091125</v>
      </c>
      <c r="BB14" s="10">
        <v>-288.08999999999997</v>
      </c>
      <c r="BC14" s="10">
        <v>0</v>
      </c>
      <c r="BD14" s="10">
        <v>0</v>
      </c>
      <c r="BE14" s="10">
        <v>0</v>
      </c>
      <c r="BF14" s="10">
        <v>20091110</v>
      </c>
      <c r="BG14" s="10">
        <v>355.21</v>
      </c>
      <c r="BH14" s="10" t="s">
        <v>123</v>
      </c>
      <c r="BI14" s="10" t="s">
        <v>123</v>
      </c>
      <c r="BJ14" s="10">
        <v>20110131</v>
      </c>
      <c r="BK14" s="10">
        <v>0</v>
      </c>
      <c r="BL14" s="10">
        <v>0</v>
      </c>
      <c r="BM14" s="10">
        <v>0</v>
      </c>
      <c r="BN14" s="10">
        <v>0</v>
      </c>
      <c r="BO14" s="10" t="s">
        <v>124</v>
      </c>
      <c r="BP14" s="10" t="s">
        <v>128</v>
      </c>
      <c r="BQ14" s="10" t="s">
        <v>128</v>
      </c>
      <c r="BR14" s="10" t="s">
        <v>124</v>
      </c>
      <c r="BS14" s="10" t="s">
        <v>211</v>
      </c>
      <c r="BT14" s="10" t="s">
        <v>173</v>
      </c>
      <c r="BU14" s="10" t="s">
        <v>123</v>
      </c>
      <c r="BV14" s="10" t="s">
        <v>157</v>
      </c>
      <c r="BW14" s="10" t="s">
        <v>123</v>
      </c>
      <c r="BX14" s="10" t="s">
        <v>123</v>
      </c>
      <c r="BY14" s="10">
        <v>0</v>
      </c>
      <c r="BZ14" s="10" t="s">
        <v>123</v>
      </c>
      <c r="CA14" s="10" t="s">
        <v>123</v>
      </c>
      <c r="CB14" s="10">
        <v>0</v>
      </c>
      <c r="CC14" s="10" t="s">
        <v>123</v>
      </c>
      <c r="CD14" s="10">
        <v>0</v>
      </c>
      <c r="CE14" s="10" t="s">
        <v>123</v>
      </c>
      <c r="CF14" s="10" t="s">
        <v>123</v>
      </c>
      <c r="CG14" s="10" t="s">
        <v>212</v>
      </c>
      <c r="CH14" s="10">
        <v>20</v>
      </c>
      <c r="CI14" s="10" t="s">
        <v>129</v>
      </c>
      <c r="CJ14" s="10" t="s">
        <v>213</v>
      </c>
      <c r="CK14" s="10" t="s">
        <v>214</v>
      </c>
      <c r="CL14" s="10" t="s">
        <v>123</v>
      </c>
      <c r="CM14" s="10" t="s">
        <v>123</v>
      </c>
      <c r="CN14" s="10" t="s">
        <v>123</v>
      </c>
      <c r="CO14" s="10">
        <v>0</v>
      </c>
      <c r="CP14" s="10">
        <v>0</v>
      </c>
      <c r="CQ14" s="10">
        <v>0</v>
      </c>
      <c r="CR14" s="10" t="s">
        <v>123</v>
      </c>
      <c r="CS14" s="10" t="s">
        <v>123</v>
      </c>
      <c r="CT14" s="10" t="s">
        <v>123</v>
      </c>
      <c r="CU14" s="10" t="s">
        <v>123</v>
      </c>
      <c r="CV14" s="10">
        <v>4</v>
      </c>
    </row>
    <row r="15" spans="1:100" x14ac:dyDescent="0.25">
      <c r="A15" s="27">
        <v>5</v>
      </c>
      <c r="B15" s="21" t="s">
        <v>215</v>
      </c>
      <c r="C15" s="21" t="s">
        <v>600</v>
      </c>
      <c r="D15" s="22" t="s">
        <v>788</v>
      </c>
      <c r="E15" s="32" t="s">
        <v>216</v>
      </c>
      <c r="F15" s="25" t="s">
        <v>217</v>
      </c>
      <c r="G15" s="31" t="s">
        <v>218</v>
      </c>
      <c r="H15" s="31" t="s">
        <v>658</v>
      </c>
      <c r="I15" s="31" t="s">
        <v>219</v>
      </c>
      <c r="J15" s="31">
        <v>33853</v>
      </c>
      <c r="K15" s="10" t="s">
        <v>134</v>
      </c>
      <c r="L15" s="23" t="s">
        <v>220</v>
      </c>
      <c r="M15" s="11" t="s">
        <v>123</v>
      </c>
      <c r="N15" s="10" t="s">
        <v>221</v>
      </c>
      <c r="O15" s="10" t="s">
        <v>123</v>
      </c>
      <c r="P15" s="10" t="s">
        <v>123</v>
      </c>
      <c r="Q15" s="10" t="s">
        <v>123</v>
      </c>
      <c r="R15" s="10" t="s">
        <v>222</v>
      </c>
      <c r="S15" s="10">
        <v>19990902</v>
      </c>
      <c r="T15" s="10">
        <v>2</v>
      </c>
      <c r="U15" s="10" t="s">
        <v>120</v>
      </c>
      <c r="V15" s="10" t="s">
        <v>121</v>
      </c>
      <c r="W15" s="10" t="s">
        <v>122</v>
      </c>
      <c r="X15" s="10" t="s">
        <v>123</v>
      </c>
      <c r="Y15" s="10" t="str">
        <f t="shared" si="0"/>
        <v>1999</v>
      </c>
      <c r="Z15" s="10" t="str">
        <f t="shared" si="1"/>
        <v>0902</v>
      </c>
      <c r="AA15" s="10" t="str">
        <f t="shared" si="2"/>
        <v>09</v>
      </c>
      <c r="AB15" s="10" t="str">
        <f t="shared" si="3"/>
        <v>02</v>
      </c>
      <c r="AC15" s="10" t="str">
        <f t="shared" si="4"/>
        <v>1999-09-02</v>
      </c>
      <c r="AD15" s="10" t="s">
        <v>123</v>
      </c>
      <c r="AE15" s="10" t="s">
        <v>125</v>
      </c>
      <c r="AF15" s="10" t="s">
        <v>126</v>
      </c>
      <c r="AG15" s="10" t="s">
        <v>123</v>
      </c>
      <c r="AH15" s="10" t="s">
        <v>124</v>
      </c>
      <c r="AI15" s="10" t="s">
        <v>188</v>
      </c>
      <c r="AJ15" s="10" t="s">
        <v>123</v>
      </c>
      <c r="AK15" s="10">
        <v>30</v>
      </c>
      <c r="AL15" s="10">
        <v>0</v>
      </c>
      <c r="AM15" s="10">
        <v>0</v>
      </c>
      <c r="AN15" s="10" t="s">
        <v>124</v>
      </c>
      <c r="AO15" s="10" t="s">
        <v>223</v>
      </c>
      <c r="AP15" s="10" t="s">
        <v>123</v>
      </c>
      <c r="AQ15" s="10" t="s">
        <v>123</v>
      </c>
      <c r="AR15" s="10" t="s">
        <v>123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123034.87</v>
      </c>
      <c r="BA15" s="10">
        <v>20080527</v>
      </c>
      <c r="BB15" s="10">
        <v>243.8</v>
      </c>
      <c r="BC15" s="10">
        <v>0</v>
      </c>
      <c r="BD15" s="10">
        <v>0</v>
      </c>
      <c r="BE15" s="10">
        <v>0</v>
      </c>
      <c r="BF15" s="10">
        <v>20091110</v>
      </c>
      <c r="BG15" s="10">
        <v>243.8</v>
      </c>
      <c r="BH15" s="10" t="s">
        <v>123</v>
      </c>
      <c r="BI15" s="10" t="s">
        <v>123</v>
      </c>
      <c r="BJ15" s="10">
        <v>20110131</v>
      </c>
      <c r="BK15" s="10">
        <v>0</v>
      </c>
      <c r="BL15" s="10">
        <v>0</v>
      </c>
      <c r="BM15" s="10">
        <v>0</v>
      </c>
      <c r="BN15" s="10">
        <v>0</v>
      </c>
      <c r="BO15" s="10" t="s">
        <v>124</v>
      </c>
      <c r="BP15" s="10" t="s">
        <v>128</v>
      </c>
      <c r="BQ15" s="10" t="s">
        <v>128</v>
      </c>
      <c r="BR15" s="10" t="s">
        <v>124</v>
      </c>
      <c r="BS15" s="10" t="s">
        <v>211</v>
      </c>
      <c r="BT15" s="10" t="s">
        <v>173</v>
      </c>
      <c r="BU15" s="10" t="s">
        <v>123</v>
      </c>
      <c r="BV15" s="10" t="s">
        <v>123</v>
      </c>
      <c r="BW15" s="10" t="s">
        <v>123</v>
      </c>
      <c r="BX15" s="10" t="s">
        <v>123</v>
      </c>
      <c r="BY15" s="10">
        <v>0</v>
      </c>
      <c r="BZ15" s="10" t="s">
        <v>123</v>
      </c>
      <c r="CA15" s="10" t="s">
        <v>123</v>
      </c>
      <c r="CB15" s="10">
        <v>0</v>
      </c>
      <c r="CC15" s="10" t="s">
        <v>123</v>
      </c>
      <c r="CD15" s="10">
        <v>50000000</v>
      </c>
      <c r="CE15" s="10" t="s">
        <v>123</v>
      </c>
      <c r="CF15" s="10" t="s">
        <v>123</v>
      </c>
      <c r="CG15" s="10" t="s">
        <v>212</v>
      </c>
      <c r="CH15" s="10">
        <v>18</v>
      </c>
      <c r="CI15" s="10" t="s">
        <v>129</v>
      </c>
      <c r="CJ15" s="10" t="s">
        <v>224</v>
      </c>
      <c r="CK15" s="10" t="s">
        <v>225</v>
      </c>
      <c r="CL15" s="10" t="s">
        <v>123</v>
      </c>
      <c r="CM15" s="10" t="s">
        <v>123</v>
      </c>
      <c r="CN15" s="10" t="s">
        <v>123</v>
      </c>
      <c r="CO15" s="10">
        <v>0</v>
      </c>
      <c r="CP15" s="10">
        <v>0</v>
      </c>
      <c r="CQ15" s="10">
        <v>0</v>
      </c>
      <c r="CR15" s="10" t="s">
        <v>123</v>
      </c>
      <c r="CS15" s="10" t="s">
        <v>123</v>
      </c>
      <c r="CT15" s="10" t="s">
        <v>123</v>
      </c>
      <c r="CU15" s="10" t="s">
        <v>123</v>
      </c>
      <c r="CV15" s="10">
        <v>5</v>
      </c>
    </row>
    <row r="16" spans="1:100" x14ac:dyDescent="0.25">
      <c r="A16" s="27">
        <v>6</v>
      </c>
      <c r="B16" s="21" t="s">
        <v>226</v>
      </c>
      <c r="C16" s="21" t="s">
        <v>601</v>
      </c>
      <c r="D16" s="22" t="s">
        <v>789</v>
      </c>
      <c r="E16" s="32" t="s">
        <v>227</v>
      </c>
      <c r="F16" s="25" t="s">
        <v>228</v>
      </c>
      <c r="G16" s="31" t="s">
        <v>123</v>
      </c>
      <c r="H16" s="31" t="s">
        <v>123</v>
      </c>
      <c r="I16" s="31" t="s">
        <v>123</v>
      </c>
      <c r="J16" s="31" t="s">
        <v>229</v>
      </c>
      <c r="K16" s="10" t="s">
        <v>151</v>
      </c>
      <c r="L16" s="23" t="s">
        <v>230</v>
      </c>
      <c r="M16" s="11" t="s">
        <v>123</v>
      </c>
      <c r="N16" s="10" t="s">
        <v>118</v>
      </c>
      <c r="O16" s="10" t="s">
        <v>123</v>
      </c>
      <c r="P16" s="10" t="s">
        <v>123</v>
      </c>
      <c r="Q16" s="10" t="s">
        <v>123</v>
      </c>
      <c r="R16" s="10" t="s">
        <v>123</v>
      </c>
      <c r="S16" s="10">
        <v>20000323</v>
      </c>
      <c r="T16" s="10">
        <v>2</v>
      </c>
      <c r="U16" s="10" t="s">
        <v>120</v>
      </c>
      <c r="V16" s="10" t="s">
        <v>121</v>
      </c>
      <c r="W16" s="10" t="s">
        <v>122</v>
      </c>
      <c r="X16" s="10">
        <v>200000</v>
      </c>
      <c r="Y16" s="10" t="str">
        <f t="shared" si="0"/>
        <v>2000</v>
      </c>
      <c r="Z16" s="10" t="str">
        <f t="shared" si="1"/>
        <v>0323</v>
      </c>
      <c r="AA16" s="10" t="str">
        <f t="shared" si="2"/>
        <v>03</v>
      </c>
      <c r="AB16" s="10" t="str">
        <f t="shared" si="3"/>
        <v>23</v>
      </c>
      <c r="AC16" s="10" t="str">
        <f t="shared" si="4"/>
        <v>2000-03-23</v>
      </c>
      <c r="AD16" s="10" t="s">
        <v>123</v>
      </c>
      <c r="AE16" s="10" t="s">
        <v>153</v>
      </c>
      <c r="AF16" s="10" t="s">
        <v>126</v>
      </c>
      <c r="AG16" s="10" t="s">
        <v>123</v>
      </c>
      <c r="AH16" s="10" t="s">
        <v>124</v>
      </c>
      <c r="AI16" s="10" t="s">
        <v>188</v>
      </c>
      <c r="AJ16" s="10" t="s">
        <v>123</v>
      </c>
      <c r="AK16" s="10">
        <v>30</v>
      </c>
      <c r="AL16" s="10">
        <v>0</v>
      </c>
      <c r="AM16" s="10">
        <v>0</v>
      </c>
      <c r="AN16" s="10" t="s">
        <v>124</v>
      </c>
      <c r="AO16" s="10" t="s">
        <v>223</v>
      </c>
      <c r="AP16" s="10" t="s">
        <v>123</v>
      </c>
      <c r="AQ16" s="10" t="s">
        <v>123</v>
      </c>
      <c r="AR16" s="10" t="s">
        <v>123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221793.42</v>
      </c>
      <c r="BA16" s="10">
        <v>20040907</v>
      </c>
      <c r="BB16" s="10">
        <v>3631.2</v>
      </c>
      <c r="BC16" s="10">
        <v>0</v>
      </c>
      <c r="BD16" s="10">
        <v>0</v>
      </c>
      <c r="BE16" s="10">
        <v>0</v>
      </c>
      <c r="BF16" s="10">
        <v>20041112</v>
      </c>
      <c r="BG16" s="10">
        <v>3631.2</v>
      </c>
      <c r="BH16" s="10" t="s">
        <v>123</v>
      </c>
      <c r="BI16" s="10" t="s">
        <v>123</v>
      </c>
      <c r="BJ16" s="10">
        <v>20110131</v>
      </c>
      <c r="BK16" s="10">
        <v>0</v>
      </c>
      <c r="BL16" s="10">
        <v>0</v>
      </c>
      <c r="BM16" s="10">
        <v>0</v>
      </c>
      <c r="BN16" s="10">
        <v>0</v>
      </c>
      <c r="BO16" s="10" t="s">
        <v>124</v>
      </c>
      <c r="BP16" s="10" t="s">
        <v>128</v>
      </c>
      <c r="BQ16" s="10" t="s">
        <v>128</v>
      </c>
      <c r="BR16" s="10" t="s">
        <v>124</v>
      </c>
      <c r="BS16" s="10" t="s">
        <v>123</v>
      </c>
      <c r="BT16" s="10" t="s">
        <v>173</v>
      </c>
      <c r="BU16" s="10" t="s">
        <v>123</v>
      </c>
      <c r="BV16" s="10" t="s">
        <v>123</v>
      </c>
      <c r="BW16" s="10" t="s">
        <v>123</v>
      </c>
      <c r="BX16" s="10" t="s">
        <v>123</v>
      </c>
      <c r="BY16" s="10">
        <v>0</v>
      </c>
      <c r="BZ16" s="10" t="s">
        <v>123</v>
      </c>
      <c r="CA16" s="10" t="s">
        <v>123</v>
      </c>
      <c r="CB16" s="10">
        <v>0</v>
      </c>
      <c r="CC16" s="10" t="s">
        <v>123</v>
      </c>
      <c r="CD16" s="10">
        <v>69000000</v>
      </c>
      <c r="CE16" s="10" t="s">
        <v>123</v>
      </c>
      <c r="CF16" s="10" t="s">
        <v>123</v>
      </c>
      <c r="CG16" s="10">
        <v>11514281</v>
      </c>
      <c r="CH16" s="10">
        <v>20</v>
      </c>
      <c r="CI16" s="10" t="s">
        <v>129</v>
      </c>
      <c r="CJ16" s="10" t="s">
        <v>123</v>
      </c>
      <c r="CK16" s="10" t="s">
        <v>123</v>
      </c>
      <c r="CL16" s="10" t="s">
        <v>123</v>
      </c>
      <c r="CM16" s="10" t="s">
        <v>123</v>
      </c>
      <c r="CN16" s="10" t="s">
        <v>123</v>
      </c>
      <c r="CO16" s="10">
        <v>0</v>
      </c>
      <c r="CP16" s="10">
        <v>0</v>
      </c>
      <c r="CQ16" s="10">
        <v>0</v>
      </c>
      <c r="CR16" s="10" t="s">
        <v>123</v>
      </c>
      <c r="CS16" s="10" t="s">
        <v>123</v>
      </c>
      <c r="CT16" s="10" t="s">
        <v>123</v>
      </c>
      <c r="CU16" s="10" t="s">
        <v>123</v>
      </c>
      <c r="CV16" s="10">
        <v>6</v>
      </c>
    </row>
    <row r="17" spans="1:100" x14ac:dyDescent="0.25">
      <c r="A17" s="27">
        <v>40</v>
      </c>
      <c r="B17" s="21" t="s">
        <v>231</v>
      </c>
      <c r="C17" s="21" t="s">
        <v>602</v>
      </c>
      <c r="D17" s="22" t="s">
        <v>790</v>
      </c>
      <c r="E17" s="32" t="s">
        <v>232</v>
      </c>
      <c r="F17" s="25" t="s">
        <v>233</v>
      </c>
      <c r="G17" s="31" t="s">
        <v>234</v>
      </c>
      <c r="H17" s="31" t="s">
        <v>659</v>
      </c>
      <c r="I17" s="31" t="s">
        <v>123</v>
      </c>
      <c r="J17" s="31">
        <v>90434</v>
      </c>
      <c r="K17" s="10" t="s">
        <v>194</v>
      </c>
      <c r="L17" s="23" t="s">
        <v>235</v>
      </c>
      <c r="M17" s="11" t="s">
        <v>123</v>
      </c>
      <c r="N17" s="10" t="s">
        <v>236</v>
      </c>
      <c r="O17" s="10" t="s">
        <v>123</v>
      </c>
      <c r="P17" s="10">
        <v>3654</v>
      </c>
      <c r="Q17" s="10" t="s">
        <v>123</v>
      </c>
      <c r="R17" s="10" t="s">
        <v>237</v>
      </c>
      <c r="S17" s="10">
        <v>20080206</v>
      </c>
      <c r="T17" s="10">
        <v>2</v>
      </c>
      <c r="U17" s="10" t="s">
        <v>120</v>
      </c>
      <c r="V17" s="10" t="s">
        <v>121</v>
      </c>
      <c r="W17" s="10" t="s">
        <v>122</v>
      </c>
      <c r="X17" s="10" t="s">
        <v>123</v>
      </c>
      <c r="Y17" s="10" t="str">
        <f t="shared" si="0"/>
        <v>2008</v>
      </c>
      <c r="Z17" s="10" t="str">
        <f t="shared" si="1"/>
        <v>0206</v>
      </c>
      <c r="AA17" s="10" t="str">
        <f t="shared" si="2"/>
        <v>02</v>
      </c>
      <c r="AB17" s="10" t="str">
        <f t="shared" si="3"/>
        <v>06</v>
      </c>
      <c r="AC17" s="10" t="str">
        <f t="shared" si="4"/>
        <v>2008-02-06</v>
      </c>
      <c r="AD17" s="10" t="s">
        <v>123</v>
      </c>
      <c r="AE17" s="10" t="s">
        <v>123</v>
      </c>
      <c r="AF17" s="10" t="s">
        <v>126</v>
      </c>
      <c r="AG17" s="10" t="s">
        <v>123</v>
      </c>
      <c r="AH17" s="10" t="s">
        <v>124</v>
      </c>
      <c r="AI17" s="10" t="s">
        <v>135</v>
      </c>
      <c r="AJ17" s="10" t="s">
        <v>123</v>
      </c>
      <c r="AK17" s="10">
        <v>60</v>
      </c>
      <c r="AL17" s="10">
        <v>0</v>
      </c>
      <c r="AM17" s="10">
        <v>0</v>
      </c>
      <c r="AN17" s="10" t="s">
        <v>124</v>
      </c>
      <c r="AO17" s="10" t="s">
        <v>123</v>
      </c>
      <c r="AP17" s="10" t="s">
        <v>123</v>
      </c>
      <c r="AQ17" s="10" t="s">
        <v>123</v>
      </c>
      <c r="AR17" s="10" t="s">
        <v>123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165335.07</v>
      </c>
      <c r="AZ17" s="10">
        <v>165335.07</v>
      </c>
      <c r="BA17" s="10">
        <v>20141208</v>
      </c>
      <c r="BB17" s="10">
        <v>551.70000000000005</v>
      </c>
      <c r="BC17" s="10">
        <v>0</v>
      </c>
      <c r="BD17" s="10">
        <v>0</v>
      </c>
      <c r="BE17" s="10">
        <v>0</v>
      </c>
      <c r="BF17" s="10">
        <v>20111101</v>
      </c>
      <c r="BG17" s="10">
        <v>17871.3</v>
      </c>
      <c r="BH17" s="10" t="s">
        <v>123</v>
      </c>
      <c r="BI17" s="10" t="s">
        <v>123</v>
      </c>
      <c r="BJ17" s="10">
        <v>20110131</v>
      </c>
      <c r="BK17" s="10">
        <v>981</v>
      </c>
      <c r="BL17" s="10">
        <v>0</v>
      </c>
      <c r="BM17" s="10">
        <v>990.54</v>
      </c>
      <c r="BN17" s="10">
        <v>-11.45</v>
      </c>
      <c r="BO17" s="10" t="s">
        <v>124</v>
      </c>
      <c r="BP17" s="10" t="s">
        <v>128</v>
      </c>
      <c r="BQ17" s="10" t="s">
        <v>128</v>
      </c>
      <c r="BR17" s="10" t="s">
        <v>124</v>
      </c>
      <c r="BS17" s="10" t="s">
        <v>238</v>
      </c>
      <c r="BT17" s="10" t="s">
        <v>239</v>
      </c>
      <c r="BU17" s="10" t="s">
        <v>123</v>
      </c>
      <c r="BV17" s="10" t="s">
        <v>157</v>
      </c>
      <c r="BW17" s="10" t="s">
        <v>123</v>
      </c>
      <c r="BX17" s="10" t="s">
        <v>123</v>
      </c>
      <c r="BY17" s="10">
        <v>0</v>
      </c>
      <c r="BZ17" s="10" t="s">
        <v>123</v>
      </c>
      <c r="CA17" s="10" t="s">
        <v>123</v>
      </c>
      <c r="CB17" s="10">
        <v>0</v>
      </c>
      <c r="CC17" s="10" t="s">
        <v>123</v>
      </c>
      <c r="CD17" s="10">
        <v>65000000</v>
      </c>
      <c r="CE17" s="10" t="s">
        <v>123</v>
      </c>
      <c r="CF17" s="10" t="s">
        <v>123</v>
      </c>
      <c r="CG17" s="10" t="s">
        <v>123</v>
      </c>
      <c r="CH17" s="10">
        <v>26</v>
      </c>
      <c r="CI17" s="10" t="s">
        <v>129</v>
      </c>
      <c r="CJ17" s="10" t="s">
        <v>123</v>
      </c>
      <c r="CK17" s="10" t="s">
        <v>123</v>
      </c>
      <c r="CL17" s="10" t="s">
        <v>123</v>
      </c>
      <c r="CM17" s="10" t="s">
        <v>123</v>
      </c>
      <c r="CN17" s="10" t="s">
        <v>123</v>
      </c>
      <c r="CO17" s="10">
        <v>0</v>
      </c>
      <c r="CP17" s="10">
        <v>0</v>
      </c>
      <c r="CQ17" s="10">
        <v>1960.09</v>
      </c>
      <c r="CR17" s="10" t="s">
        <v>123</v>
      </c>
      <c r="CS17" s="10" t="s">
        <v>123</v>
      </c>
      <c r="CT17" s="10" t="s">
        <v>123</v>
      </c>
      <c r="CU17" s="10" t="s">
        <v>123</v>
      </c>
      <c r="CV17" s="10">
        <v>40</v>
      </c>
    </row>
    <row r="18" spans="1:100" x14ac:dyDescent="0.25">
      <c r="A18" s="27">
        <v>54</v>
      </c>
      <c r="B18" s="21" t="s">
        <v>240</v>
      </c>
      <c r="C18" s="21" t="s">
        <v>603</v>
      </c>
      <c r="D18" s="22" t="s">
        <v>782</v>
      </c>
      <c r="E18" s="32" t="s">
        <v>241</v>
      </c>
      <c r="F18" s="25" t="s">
        <v>111</v>
      </c>
      <c r="G18" s="31" t="s">
        <v>168</v>
      </c>
      <c r="H18" s="31" t="s">
        <v>651</v>
      </c>
      <c r="I18" s="31" t="s">
        <v>114</v>
      </c>
      <c r="J18" s="31">
        <v>48083</v>
      </c>
      <c r="K18" s="10" t="s">
        <v>242</v>
      </c>
      <c r="L18" s="23" t="s">
        <v>117</v>
      </c>
      <c r="M18" s="11" t="s">
        <v>117</v>
      </c>
      <c r="N18" s="10" t="s">
        <v>118</v>
      </c>
      <c r="O18" s="10" t="s">
        <v>118</v>
      </c>
      <c r="P18" s="10" t="s">
        <v>119</v>
      </c>
      <c r="Q18" s="10" t="s">
        <v>119</v>
      </c>
      <c r="R18" s="10" t="s">
        <v>118</v>
      </c>
      <c r="S18" s="10">
        <v>20191119</v>
      </c>
      <c r="T18" s="10">
        <v>2</v>
      </c>
      <c r="U18" s="10" t="s">
        <v>120</v>
      </c>
      <c r="V18" s="10" t="s">
        <v>121</v>
      </c>
      <c r="W18" s="10" t="s">
        <v>122</v>
      </c>
      <c r="X18" s="10">
        <v>3000000</v>
      </c>
      <c r="Y18" s="10" t="str">
        <f t="shared" si="0"/>
        <v>2019</v>
      </c>
      <c r="Z18" s="10" t="str">
        <f t="shared" si="1"/>
        <v>1119</v>
      </c>
      <c r="AA18" s="10" t="str">
        <f t="shared" si="2"/>
        <v>11</v>
      </c>
      <c r="AB18" s="10" t="str">
        <f t="shared" si="3"/>
        <v>19</v>
      </c>
      <c r="AC18" s="10" t="str">
        <f t="shared" si="4"/>
        <v>2019-11-19</v>
      </c>
      <c r="AD18" s="10" t="s">
        <v>123</v>
      </c>
      <c r="AE18" s="10" t="s">
        <v>125</v>
      </c>
      <c r="AF18" s="10" t="s">
        <v>126</v>
      </c>
      <c r="AG18" s="10" t="s">
        <v>123</v>
      </c>
      <c r="AH18" s="10" t="s">
        <v>124</v>
      </c>
      <c r="AI18" s="10" t="s">
        <v>135</v>
      </c>
      <c r="AJ18" s="10" t="s">
        <v>123</v>
      </c>
      <c r="AK18" s="10">
        <v>5</v>
      </c>
      <c r="AL18" s="10">
        <v>0</v>
      </c>
      <c r="AM18" s="10">
        <v>0</v>
      </c>
      <c r="AN18" s="10" t="s">
        <v>124</v>
      </c>
      <c r="AO18" s="33">
        <v>0</v>
      </c>
      <c r="AP18" s="10" t="s">
        <v>123</v>
      </c>
      <c r="AQ18" s="10" t="s">
        <v>123</v>
      </c>
      <c r="AR18" s="10" t="s">
        <v>123</v>
      </c>
      <c r="AS18" s="10">
        <v>0</v>
      </c>
      <c r="AT18" s="10">
        <v>0</v>
      </c>
      <c r="AU18" s="33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 t="s">
        <v>123</v>
      </c>
      <c r="BI18" s="10" t="s">
        <v>123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 t="s">
        <v>124</v>
      </c>
      <c r="BP18" s="10" t="s">
        <v>128</v>
      </c>
      <c r="BQ18" s="10" t="s">
        <v>128</v>
      </c>
      <c r="BR18" s="10" t="s">
        <v>124</v>
      </c>
      <c r="BS18" s="10" t="s">
        <v>123</v>
      </c>
      <c r="BT18" s="10" t="s">
        <v>123</v>
      </c>
      <c r="BU18" s="10" t="s">
        <v>123</v>
      </c>
      <c r="BV18" s="10" t="s">
        <v>123</v>
      </c>
      <c r="BW18" s="10" t="s">
        <v>123</v>
      </c>
      <c r="BX18" s="10" t="s">
        <v>123</v>
      </c>
      <c r="BY18" s="10">
        <v>0</v>
      </c>
      <c r="BZ18" s="10" t="s">
        <v>123</v>
      </c>
      <c r="CA18" s="10" t="s">
        <v>123</v>
      </c>
      <c r="CB18" s="10">
        <v>0</v>
      </c>
      <c r="CC18" s="10" t="s">
        <v>123</v>
      </c>
      <c r="CD18" s="10">
        <v>69000000</v>
      </c>
      <c r="CE18" s="10" t="s">
        <v>123</v>
      </c>
      <c r="CF18" s="10" t="s">
        <v>123</v>
      </c>
      <c r="CG18" s="10" t="s">
        <v>123</v>
      </c>
      <c r="CH18" s="10">
        <v>26</v>
      </c>
      <c r="CI18" s="10" t="s">
        <v>129</v>
      </c>
      <c r="CJ18" s="10" t="s">
        <v>123</v>
      </c>
      <c r="CK18" s="10" t="s">
        <v>123</v>
      </c>
      <c r="CL18" s="10" t="s">
        <v>123</v>
      </c>
      <c r="CM18" s="10" t="s">
        <v>123</v>
      </c>
      <c r="CN18" s="10" t="s">
        <v>123</v>
      </c>
      <c r="CO18" s="10">
        <v>0</v>
      </c>
      <c r="CP18" s="10">
        <v>0</v>
      </c>
      <c r="CQ18" s="10">
        <v>0</v>
      </c>
      <c r="CR18" s="10" t="s">
        <v>123</v>
      </c>
      <c r="CS18" s="10" t="s">
        <v>123</v>
      </c>
      <c r="CT18" s="10" t="s">
        <v>123</v>
      </c>
      <c r="CU18" s="10" t="s">
        <v>123</v>
      </c>
      <c r="CV18" s="10">
        <v>54</v>
      </c>
    </row>
    <row r="19" spans="1:100" x14ac:dyDescent="0.25">
      <c r="A19" s="27">
        <v>7</v>
      </c>
      <c r="B19" s="21" t="s">
        <v>243</v>
      </c>
      <c r="C19" s="21" t="s">
        <v>604</v>
      </c>
      <c r="D19" s="22" t="s">
        <v>791</v>
      </c>
      <c r="E19" s="32" t="s">
        <v>244</v>
      </c>
      <c r="F19" s="25" t="s">
        <v>123</v>
      </c>
      <c r="G19" s="31" t="s">
        <v>245</v>
      </c>
      <c r="H19" s="31" t="s">
        <v>660</v>
      </c>
      <c r="I19" s="31" t="s">
        <v>114</v>
      </c>
      <c r="J19" s="31">
        <v>48341</v>
      </c>
      <c r="K19" s="10" t="s">
        <v>134</v>
      </c>
      <c r="L19" s="23" t="s">
        <v>246</v>
      </c>
      <c r="M19" s="11" t="s">
        <v>247</v>
      </c>
      <c r="N19" s="10" t="s">
        <v>248</v>
      </c>
      <c r="O19" s="10" t="s">
        <v>249</v>
      </c>
      <c r="P19" s="10" t="s">
        <v>123</v>
      </c>
      <c r="Q19" s="10" t="s">
        <v>123</v>
      </c>
      <c r="R19" s="10" t="s">
        <v>123</v>
      </c>
      <c r="S19" s="10">
        <v>20010725</v>
      </c>
      <c r="T19" s="10">
        <v>2</v>
      </c>
      <c r="U19" s="10" t="s">
        <v>250</v>
      </c>
      <c r="V19" s="10" t="s">
        <v>121</v>
      </c>
      <c r="W19" s="10" t="s">
        <v>122</v>
      </c>
      <c r="X19" s="10">
        <v>500000</v>
      </c>
      <c r="Y19" s="10" t="str">
        <f t="shared" si="0"/>
        <v>2001</v>
      </c>
      <c r="Z19" s="10" t="str">
        <f t="shared" si="1"/>
        <v>0725</v>
      </c>
      <c r="AA19" s="10" t="str">
        <f t="shared" si="2"/>
        <v>07</v>
      </c>
      <c r="AB19" s="10" t="str">
        <f t="shared" si="3"/>
        <v>25</v>
      </c>
      <c r="AC19" s="10" t="str">
        <f t="shared" si="4"/>
        <v>2001-07-25</v>
      </c>
      <c r="AD19" s="10" t="s">
        <v>123</v>
      </c>
      <c r="AE19" s="10" t="s">
        <v>123</v>
      </c>
      <c r="AF19" s="10" t="s">
        <v>126</v>
      </c>
      <c r="AG19" s="10" t="s">
        <v>123</v>
      </c>
      <c r="AH19" s="10" t="s">
        <v>124</v>
      </c>
      <c r="AI19" s="10" t="s">
        <v>188</v>
      </c>
      <c r="AJ19" s="10" t="s">
        <v>123</v>
      </c>
      <c r="AK19" s="10">
        <v>45</v>
      </c>
      <c r="AL19" s="10">
        <v>0</v>
      </c>
      <c r="AM19" s="10">
        <v>0</v>
      </c>
      <c r="AN19" s="10" t="s">
        <v>124</v>
      </c>
      <c r="AO19" s="33">
        <v>0</v>
      </c>
      <c r="AP19" s="10" t="s">
        <v>123</v>
      </c>
      <c r="AQ19" s="10" t="s">
        <v>123</v>
      </c>
      <c r="AR19" s="10" t="s">
        <v>123</v>
      </c>
      <c r="AS19" s="10">
        <v>0</v>
      </c>
      <c r="AT19" s="10">
        <v>0</v>
      </c>
      <c r="AU19" s="33">
        <v>0</v>
      </c>
      <c r="AV19" s="10">
        <v>0</v>
      </c>
      <c r="AW19" s="10">
        <v>0</v>
      </c>
      <c r="AX19" s="10">
        <v>0</v>
      </c>
      <c r="AY19" s="10">
        <v>646931.82999999996</v>
      </c>
      <c r="AZ19" s="10">
        <v>3575143.97</v>
      </c>
      <c r="BA19" s="10">
        <v>20190221</v>
      </c>
      <c r="BB19" s="10">
        <v>1553.7</v>
      </c>
      <c r="BC19" s="10">
        <v>0</v>
      </c>
      <c r="BD19" s="10">
        <v>0</v>
      </c>
      <c r="BE19" s="10">
        <v>0</v>
      </c>
      <c r="BF19" s="10">
        <v>20100825</v>
      </c>
      <c r="BG19" s="10">
        <v>116.1</v>
      </c>
      <c r="BH19" s="10" t="s">
        <v>123</v>
      </c>
      <c r="BI19" s="10" t="s">
        <v>123</v>
      </c>
      <c r="BJ19" s="10">
        <v>20110131</v>
      </c>
      <c r="BK19" s="10">
        <v>0</v>
      </c>
      <c r="BL19" s="10">
        <v>0</v>
      </c>
      <c r="BM19" s="10">
        <v>0</v>
      </c>
      <c r="BN19" s="10">
        <v>11.32</v>
      </c>
      <c r="BO19" s="10" t="s">
        <v>124</v>
      </c>
      <c r="BP19" s="10" t="s">
        <v>128</v>
      </c>
      <c r="BQ19" s="10" t="s">
        <v>128</v>
      </c>
      <c r="BR19" s="10" t="s">
        <v>124</v>
      </c>
      <c r="BS19" s="10" t="s">
        <v>123</v>
      </c>
      <c r="BT19" s="10" t="s">
        <v>154</v>
      </c>
      <c r="BU19" s="10" t="s">
        <v>123</v>
      </c>
      <c r="BV19" s="10" t="s">
        <v>123</v>
      </c>
      <c r="BW19" s="10" t="s">
        <v>123</v>
      </c>
      <c r="BX19" s="10" t="s">
        <v>123</v>
      </c>
      <c r="BY19" s="10">
        <v>0</v>
      </c>
      <c r="BZ19" s="10" t="s">
        <v>123</v>
      </c>
      <c r="CA19" s="10" t="s">
        <v>123</v>
      </c>
      <c r="CB19" s="10">
        <v>0</v>
      </c>
      <c r="CC19" s="10" t="s">
        <v>123</v>
      </c>
      <c r="CD19" s="10">
        <v>70000000</v>
      </c>
      <c r="CE19" s="10" t="s">
        <v>123</v>
      </c>
      <c r="CF19" s="10" t="s">
        <v>123</v>
      </c>
      <c r="CG19" s="10">
        <v>1127566</v>
      </c>
      <c r="CH19" s="10">
        <v>26</v>
      </c>
      <c r="CI19" s="10" t="s">
        <v>129</v>
      </c>
      <c r="CJ19" s="10" t="s">
        <v>123</v>
      </c>
      <c r="CK19" s="10" t="s">
        <v>123</v>
      </c>
      <c r="CL19" s="10" t="s">
        <v>123</v>
      </c>
      <c r="CM19" s="10" t="s">
        <v>123</v>
      </c>
      <c r="CN19" s="10" t="s">
        <v>123</v>
      </c>
      <c r="CO19" s="10">
        <v>0</v>
      </c>
      <c r="CP19" s="10">
        <v>0</v>
      </c>
      <c r="CQ19" s="10">
        <v>11.32</v>
      </c>
      <c r="CR19" s="10" t="s">
        <v>251</v>
      </c>
      <c r="CS19" s="10" t="s">
        <v>123</v>
      </c>
      <c r="CT19" s="10" t="s">
        <v>123</v>
      </c>
      <c r="CU19" s="10" t="s">
        <v>123</v>
      </c>
      <c r="CV19" s="10">
        <v>7</v>
      </c>
    </row>
    <row r="20" spans="1:100" x14ac:dyDescent="0.25">
      <c r="A20" s="27">
        <v>34</v>
      </c>
      <c r="B20" s="21" t="s">
        <v>252</v>
      </c>
      <c r="C20" s="21" t="s">
        <v>605</v>
      </c>
      <c r="D20" s="22" t="s">
        <v>792</v>
      </c>
      <c r="E20" s="32" t="s">
        <v>253</v>
      </c>
      <c r="F20" s="25" t="s">
        <v>123</v>
      </c>
      <c r="G20" s="31" t="s">
        <v>254</v>
      </c>
      <c r="H20" s="31" t="s">
        <v>661</v>
      </c>
      <c r="I20" s="31" t="s">
        <v>255</v>
      </c>
      <c r="J20" s="31">
        <v>78840</v>
      </c>
      <c r="K20" s="10" t="s">
        <v>134</v>
      </c>
      <c r="L20" s="23" t="s">
        <v>256</v>
      </c>
      <c r="M20" s="11" t="s">
        <v>123</v>
      </c>
      <c r="N20" s="10" t="s">
        <v>257</v>
      </c>
      <c r="O20" s="10" t="s">
        <v>123</v>
      </c>
      <c r="P20" s="10" t="s">
        <v>123</v>
      </c>
      <c r="Q20" s="10" t="s">
        <v>123</v>
      </c>
      <c r="R20" s="10" t="s">
        <v>258</v>
      </c>
      <c r="S20" s="10">
        <v>20031106</v>
      </c>
      <c r="T20" s="10">
        <v>2</v>
      </c>
      <c r="U20" s="10" t="s">
        <v>250</v>
      </c>
      <c r="V20" s="10" t="s">
        <v>121</v>
      </c>
      <c r="W20" s="10" t="s">
        <v>122</v>
      </c>
      <c r="X20" s="10">
        <v>500000</v>
      </c>
      <c r="Y20" s="10" t="str">
        <f t="shared" si="0"/>
        <v>2003</v>
      </c>
      <c r="Z20" s="10" t="str">
        <f t="shared" si="1"/>
        <v>1106</v>
      </c>
      <c r="AA20" s="10" t="str">
        <f t="shared" si="2"/>
        <v>11</v>
      </c>
      <c r="AB20" s="10" t="str">
        <f t="shared" si="3"/>
        <v>06</v>
      </c>
      <c r="AC20" s="10" t="str">
        <f t="shared" si="4"/>
        <v>2003-11-06</v>
      </c>
      <c r="AD20" s="10" t="s">
        <v>123</v>
      </c>
      <c r="AE20" s="10" t="s">
        <v>123</v>
      </c>
      <c r="AF20" s="10" t="s">
        <v>126</v>
      </c>
      <c r="AG20" s="10" t="s">
        <v>123</v>
      </c>
      <c r="AH20" s="10" t="s">
        <v>124</v>
      </c>
      <c r="AI20" s="10" t="s">
        <v>188</v>
      </c>
      <c r="AJ20" s="10" t="s">
        <v>123</v>
      </c>
      <c r="AK20" s="10">
        <v>30</v>
      </c>
      <c r="AL20" s="10">
        <v>0</v>
      </c>
      <c r="AM20" s="10">
        <v>0</v>
      </c>
      <c r="AN20" s="10" t="s">
        <v>124</v>
      </c>
      <c r="AO20" s="10" t="s">
        <v>123</v>
      </c>
      <c r="AP20" s="10" t="s">
        <v>123</v>
      </c>
      <c r="AQ20" s="10" t="s">
        <v>123</v>
      </c>
      <c r="AR20" s="10" t="s">
        <v>123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209485.34</v>
      </c>
      <c r="AZ20" s="10">
        <v>247285.34</v>
      </c>
      <c r="BA20" s="10">
        <v>20180125</v>
      </c>
      <c r="BB20" s="10">
        <v>-15120</v>
      </c>
      <c r="BC20" s="10">
        <v>0</v>
      </c>
      <c r="BD20" s="10">
        <v>0</v>
      </c>
      <c r="BE20" s="10">
        <v>0</v>
      </c>
      <c r="BF20" s="10">
        <v>20110701</v>
      </c>
      <c r="BG20" s="10">
        <v>15224.93</v>
      </c>
      <c r="BH20" s="10" t="s">
        <v>123</v>
      </c>
      <c r="BI20" s="10" t="s">
        <v>123</v>
      </c>
      <c r="BJ20" s="10">
        <v>20110131</v>
      </c>
      <c r="BK20" s="10">
        <v>2763.4</v>
      </c>
      <c r="BL20" s="10">
        <v>0</v>
      </c>
      <c r="BM20" s="10">
        <v>877.9</v>
      </c>
      <c r="BN20" s="10">
        <v>636.35</v>
      </c>
      <c r="BO20" s="10" t="s">
        <v>124</v>
      </c>
      <c r="BP20" s="10" t="s">
        <v>128</v>
      </c>
      <c r="BQ20" s="10" t="s">
        <v>128</v>
      </c>
      <c r="BR20" s="10" t="s">
        <v>124</v>
      </c>
      <c r="BS20" s="10" t="s">
        <v>259</v>
      </c>
      <c r="BT20" s="10" t="s">
        <v>260</v>
      </c>
      <c r="BU20" s="10" t="s">
        <v>123</v>
      </c>
      <c r="BV20" s="10" t="s">
        <v>157</v>
      </c>
      <c r="BW20" s="10" t="s">
        <v>123</v>
      </c>
      <c r="BX20" s="10" t="s">
        <v>123</v>
      </c>
      <c r="BY20" s="10">
        <v>0</v>
      </c>
      <c r="BZ20" s="10" t="s">
        <v>123</v>
      </c>
      <c r="CA20" s="10" t="s">
        <v>123</v>
      </c>
      <c r="CB20" s="10">
        <v>0</v>
      </c>
      <c r="CC20" s="10" t="s">
        <v>123</v>
      </c>
      <c r="CD20" s="10">
        <v>70000000</v>
      </c>
      <c r="CE20" s="10" t="s">
        <v>123</v>
      </c>
      <c r="CF20" s="10" t="s">
        <v>123</v>
      </c>
      <c r="CG20" s="10" t="s">
        <v>123</v>
      </c>
      <c r="CH20" s="10">
        <v>26</v>
      </c>
      <c r="CI20" s="10" t="s">
        <v>261</v>
      </c>
      <c r="CJ20" s="10" t="s">
        <v>123</v>
      </c>
      <c r="CK20" s="10" t="s">
        <v>123</v>
      </c>
      <c r="CL20" s="10" t="s">
        <v>123</v>
      </c>
      <c r="CM20" s="10" t="s">
        <v>123</v>
      </c>
      <c r="CN20" s="10" t="s">
        <v>123</v>
      </c>
      <c r="CO20" s="10">
        <v>0</v>
      </c>
      <c r="CP20" s="10">
        <v>0</v>
      </c>
      <c r="CQ20" s="10">
        <v>1514.25</v>
      </c>
      <c r="CR20" s="10" t="s">
        <v>123</v>
      </c>
      <c r="CS20" s="10" t="s">
        <v>123</v>
      </c>
      <c r="CT20" s="10" t="s">
        <v>123</v>
      </c>
      <c r="CU20" s="10" t="s">
        <v>123</v>
      </c>
      <c r="CV20" s="10">
        <v>34</v>
      </c>
    </row>
    <row r="21" spans="1:100" x14ac:dyDescent="0.25">
      <c r="A21" s="27">
        <v>8</v>
      </c>
      <c r="B21" s="21" t="s">
        <v>262</v>
      </c>
      <c r="C21" s="21" t="s">
        <v>606</v>
      </c>
      <c r="D21" s="22" t="s">
        <v>793</v>
      </c>
      <c r="E21" s="32" t="s">
        <v>263</v>
      </c>
      <c r="F21" s="25" t="s">
        <v>264</v>
      </c>
      <c r="G21" s="31" t="s">
        <v>265</v>
      </c>
      <c r="H21" s="31" t="s">
        <v>662</v>
      </c>
      <c r="I21" s="31" t="s">
        <v>123</v>
      </c>
      <c r="J21" s="31">
        <v>53370</v>
      </c>
      <c r="K21" s="10" t="s">
        <v>194</v>
      </c>
      <c r="L21" s="23" t="s">
        <v>123</v>
      </c>
      <c r="M21" s="11" t="s">
        <v>123</v>
      </c>
      <c r="N21" s="10" t="s">
        <v>266</v>
      </c>
      <c r="O21" s="10" t="s">
        <v>267</v>
      </c>
      <c r="P21" s="10" t="s">
        <v>123</v>
      </c>
      <c r="Q21" s="10" t="s">
        <v>123</v>
      </c>
      <c r="R21" s="10" t="s">
        <v>268</v>
      </c>
      <c r="S21" s="10">
        <v>19991111</v>
      </c>
      <c r="T21" s="10">
        <v>2</v>
      </c>
      <c r="U21" s="10" t="s">
        <v>120</v>
      </c>
      <c r="V21" s="10" t="s">
        <v>121</v>
      </c>
      <c r="W21" s="10" t="s">
        <v>122</v>
      </c>
      <c r="X21" s="10" t="s">
        <v>123</v>
      </c>
      <c r="Y21" s="10" t="str">
        <f t="shared" si="0"/>
        <v>1999</v>
      </c>
      <c r="Z21" s="10" t="str">
        <f t="shared" si="1"/>
        <v>1111</v>
      </c>
      <c r="AA21" s="10" t="str">
        <f t="shared" si="2"/>
        <v>11</v>
      </c>
      <c r="AB21" s="10" t="str">
        <f t="shared" si="3"/>
        <v>11</v>
      </c>
      <c r="AC21" s="10" t="str">
        <f t="shared" si="4"/>
        <v>1999-11-11</v>
      </c>
      <c r="AD21" s="10" t="s">
        <v>123</v>
      </c>
      <c r="AE21" s="10" t="s">
        <v>153</v>
      </c>
      <c r="AF21" s="10" t="s">
        <v>126</v>
      </c>
      <c r="AG21" s="10" t="s">
        <v>123</v>
      </c>
      <c r="AH21" s="10" t="s">
        <v>124</v>
      </c>
      <c r="AI21" s="10" t="s">
        <v>188</v>
      </c>
      <c r="AJ21" s="10" t="s">
        <v>123</v>
      </c>
      <c r="AK21" s="10">
        <v>30</v>
      </c>
      <c r="AL21" s="10">
        <v>0</v>
      </c>
      <c r="AM21" s="10">
        <v>0</v>
      </c>
      <c r="AN21" s="10" t="s">
        <v>124</v>
      </c>
      <c r="AO21" s="10" t="s">
        <v>223</v>
      </c>
      <c r="AP21" s="10" t="s">
        <v>123</v>
      </c>
      <c r="AQ21" s="10" t="s">
        <v>123</v>
      </c>
      <c r="AR21" s="10" t="s">
        <v>123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13214</v>
      </c>
      <c r="AZ21" s="10">
        <v>984539.42</v>
      </c>
      <c r="BA21" s="10">
        <v>20111029</v>
      </c>
      <c r="BB21" s="10">
        <v>11234</v>
      </c>
      <c r="BC21" s="10">
        <v>0</v>
      </c>
      <c r="BD21" s="10">
        <v>0</v>
      </c>
      <c r="BE21" s="10">
        <v>0</v>
      </c>
      <c r="BF21" s="10">
        <v>20020120</v>
      </c>
      <c r="BG21" s="10">
        <v>0</v>
      </c>
      <c r="BH21" s="10" t="s">
        <v>123</v>
      </c>
      <c r="BI21" s="10" t="s">
        <v>123</v>
      </c>
      <c r="BJ21" s="10">
        <v>20110131</v>
      </c>
      <c r="BK21" s="10">
        <v>0</v>
      </c>
      <c r="BL21" s="10">
        <v>0</v>
      </c>
      <c r="BM21" s="10">
        <v>0</v>
      </c>
      <c r="BN21" s="10">
        <v>0</v>
      </c>
      <c r="BO21" s="10" t="s">
        <v>124</v>
      </c>
      <c r="BP21" s="10" t="s">
        <v>128</v>
      </c>
      <c r="BQ21" s="10" t="s">
        <v>128</v>
      </c>
      <c r="BR21" s="10" t="s">
        <v>124</v>
      </c>
      <c r="BS21" s="10" t="s">
        <v>123</v>
      </c>
      <c r="BT21" s="10" t="s">
        <v>154</v>
      </c>
      <c r="BU21" s="10" t="s">
        <v>123</v>
      </c>
      <c r="BV21" s="10" t="s">
        <v>123</v>
      </c>
      <c r="BW21" s="10" t="s">
        <v>123</v>
      </c>
      <c r="BX21" s="10" t="s">
        <v>123</v>
      </c>
      <c r="BY21" s="10">
        <v>0</v>
      </c>
      <c r="BZ21" s="10" t="s">
        <v>123</v>
      </c>
      <c r="CA21" s="10" t="s">
        <v>123</v>
      </c>
      <c r="CB21" s="10">
        <v>0</v>
      </c>
      <c r="CC21" s="10" t="s">
        <v>123</v>
      </c>
      <c r="CD21" s="10">
        <v>69000000</v>
      </c>
      <c r="CE21" s="10" t="s">
        <v>123</v>
      </c>
      <c r="CF21" s="10" t="s">
        <v>123</v>
      </c>
      <c r="CG21" s="10" t="s">
        <v>123</v>
      </c>
      <c r="CH21" s="10">
        <v>20</v>
      </c>
      <c r="CI21" s="10" t="s">
        <v>129</v>
      </c>
      <c r="CJ21" s="10">
        <v>2.59</v>
      </c>
      <c r="CK21" s="10">
        <v>2.64</v>
      </c>
      <c r="CL21" s="10" t="s">
        <v>123</v>
      </c>
      <c r="CM21" s="10" t="s">
        <v>123</v>
      </c>
      <c r="CN21" s="10" t="s">
        <v>123</v>
      </c>
      <c r="CO21" s="10">
        <v>0</v>
      </c>
      <c r="CP21" s="10">
        <v>0</v>
      </c>
      <c r="CQ21" s="10">
        <v>0</v>
      </c>
      <c r="CR21" s="10" t="s">
        <v>269</v>
      </c>
      <c r="CS21" s="10" t="s">
        <v>123</v>
      </c>
      <c r="CT21" s="10" t="s">
        <v>123</v>
      </c>
      <c r="CU21" s="10" t="s">
        <v>123</v>
      </c>
      <c r="CV21" s="10">
        <v>8</v>
      </c>
    </row>
    <row r="22" spans="1:100" x14ac:dyDescent="0.25">
      <c r="A22" s="27">
        <v>32</v>
      </c>
      <c r="B22" s="21" t="s">
        <v>270</v>
      </c>
      <c r="C22" s="21" t="s">
        <v>607</v>
      </c>
      <c r="D22" s="22" t="s">
        <v>794</v>
      </c>
      <c r="E22" s="32" t="s">
        <v>271</v>
      </c>
      <c r="F22" s="25" t="s">
        <v>272</v>
      </c>
      <c r="G22" s="31" t="s">
        <v>273</v>
      </c>
      <c r="H22" s="31" t="s">
        <v>13</v>
      </c>
      <c r="I22" s="31" t="s">
        <v>123</v>
      </c>
      <c r="J22" s="31">
        <v>32320</v>
      </c>
      <c r="K22" s="10" t="s">
        <v>194</v>
      </c>
      <c r="L22" s="23" t="s">
        <v>274</v>
      </c>
      <c r="M22" s="11" t="s">
        <v>123</v>
      </c>
      <c r="N22" s="10" t="s">
        <v>275</v>
      </c>
      <c r="O22" s="10" t="s">
        <v>123</v>
      </c>
      <c r="P22" s="10" t="s">
        <v>123</v>
      </c>
      <c r="Q22" s="10" t="s">
        <v>123</v>
      </c>
      <c r="R22" s="10" t="s">
        <v>276</v>
      </c>
      <c r="S22" s="10">
        <v>20020122</v>
      </c>
      <c r="T22" s="10">
        <v>2</v>
      </c>
      <c r="U22" s="10" t="s">
        <v>250</v>
      </c>
      <c r="V22" s="10" t="s">
        <v>121</v>
      </c>
      <c r="W22" s="10" t="s">
        <v>122</v>
      </c>
      <c r="X22" s="10">
        <v>50000</v>
      </c>
      <c r="Y22" s="10" t="str">
        <f t="shared" si="0"/>
        <v>2002</v>
      </c>
      <c r="Z22" s="10" t="str">
        <f t="shared" si="1"/>
        <v>0122</v>
      </c>
      <c r="AA22" s="10" t="str">
        <f t="shared" si="2"/>
        <v>01</v>
      </c>
      <c r="AB22" s="10" t="str">
        <f t="shared" si="3"/>
        <v>22</v>
      </c>
      <c r="AC22" s="10" t="str">
        <f t="shared" si="4"/>
        <v>2002-01-22</v>
      </c>
      <c r="AD22" s="10" t="s">
        <v>123</v>
      </c>
      <c r="AE22" s="10" t="s">
        <v>153</v>
      </c>
      <c r="AF22" s="10" t="s">
        <v>126</v>
      </c>
      <c r="AG22" s="10" t="s">
        <v>123</v>
      </c>
      <c r="AH22" s="10" t="s">
        <v>124</v>
      </c>
      <c r="AI22" s="10" t="s">
        <v>188</v>
      </c>
      <c r="AJ22" s="10" t="s">
        <v>123</v>
      </c>
      <c r="AK22" s="10">
        <v>30</v>
      </c>
      <c r="AL22" s="10">
        <v>0</v>
      </c>
      <c r="AM22" s="10">
        <v>0</v>
      </c>
      <c r="AN22" s="10" t="s">
        <v>124</v>
      </c>
      <c r="AO22" s="10" t="s">
        <v>123</v>
      </c>
      <c r="AP22" s="10" t="s">
        <v>123</v>
      </c>
      <c r="AQ22" s="10" t="s">
        <v>123</v>
      </c>
      <c r="AR22" s="10" t="s">
        <v>123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1283982.1399999999</v>
      </c>
      <c r="AZ22" s="10">
        <v>1283982.1399999999</v>
      </c>
      <c r="BA22" s="10">
        <v>20181211</v>
      </c>
      <c r="BB22" s="10">
        <v>1531.6</v>
      </c>
      <c r="BC22" s="10">
        <v>0</v>
      </c>
      <c r="BD22" s="10">
        <v>0</v>
      </c>
      <c r="BE22" s="10">
        <v>0</v>
      </c>
      <c r="BF22" s="10">
        <v>20111101</v>
      </c>
      <c r="BG22" s="10">
        <v>29305.8</v>
      </c>
      <c r="BH22" s="10" t="s">
        <v>123</v>
      </c>
      <c r="BI22" s="10" t="s">
        <v>123</v>
      </c>
      <c r="BJ22" s="10">
        <v>20110131</v>
      </c>
      <c r="BK22" s="10">
        <v>0</v>
      </c>
      <c r="BL22" s="10">
        <v>0</v>
      </c>
      <c r="BM22" s="10">
        <v>0</v>
      </c>
      <c r="BN22" s="10">
        <v>0</v>
      </c>
      <c r="BO22" s="10" t="s">
        <v>124</v>
      </c>
      <c r="BP22" s="10" t="s">
        <v>128</v>
      </c>
      <c r="BQ22" s="10" t="s">
        <v>128</v>
      </c>
      <c r="BR22" s="10" t="s">
        <v>124</v>
      </c>
      <c r="BS22" s="10" t="s">
        <v>277</v>
      </c>
      <c r="BT22" s="10" t="s">
        <v>173</v>
      </c>
      <c r="BU22" s="10" t="s">
        <v>123</v>
      </c>
      <c r="BV22" s="10" t="s">
        <v>157</v>
      </c>
      <c r="BW22" s="10" t="s">
        <v>123</v>
      </c>
      <c r="BX22" s="10" t="s">
        <v>123</v>
      </c>
      <c r="BY22" s="10">
        <v>0</v>
      </c>
      <c r="BZ22" s="10" t="s">
        <v>123</v>
      </c>
      <c r="CA22" s="10" t="s">
        <v>123</v>
      </c>
      <c r="CB22" s="10">
        <v>0</v>
      </c>
      <c r="CC22" s="10" t="s">
        <v>123</v>
      </c>
      <c r="CD22" s="10">
        <v>69000000</v>
      </c>
      <c r="CE22" s="10" t="s">
        <v>123</v>
      </c>
      <c r="CF22" s="10" t="s">
        <v>123</v>
      </c>
      <c r="CG22" s="10" t="s">
        <v>278</v>
      </c>
      <c r="CH22" s="10">
        <v>26</v>
      </c>
      <c r="CI22" s="10" t="s">
        <v>129</v>
      </c>
      <c r="CJ22" s="10" t="s">
        <v>123</v>
      </c>
      <c r="CK22" s="10" t="s">
        <v>123</v>
      </c>
      <c r="CL22" s="10" t="s">
        <v>123</v>
      </c>
      <c r="CM22" s="10" t="s">
        <v>123</v>
      </c>
      <c r="CN22" s="10" t="s">
        <v>123</v>
      </c>
      <c r="CO22" s="10">
        <v>0</v>
      </c>
      <c r="CP22" s="10">
        <v>0</v>
      </c>
      <c r="CQ22" s="10">
        <v>0</v>
      </c>
      <c r="CR22" s="10" t="s">
        <v>123</v>
      </c>
      <c r="CS22" s="10" t="s">
        <v>123</v>
      </c>
      <c r="CT22" s="10" t="s">
        <v>123</v>
      </c>
      <c r="CU22" s="10" t="s">
        <v>123</v>
      </c>
      <c r="CV22" s="10">
        <v>32</v>
      </c>
    </row>
    <row r="23" spans="1:100" x14ac:dyDescent="0.25">
      <c r="A23" s="27">
        <v>9</v>
      </c>
      <c r="B23" s="21" t="s">
        <v>279</v>
      </c>
      <c r="C23" s="21" t="s">
        <v>608</v>
      </c>
      <c r="D23" s="22" t="s">
        <v>795</v>
      </c>
      <c r="E23" s="32" t="s">
        <v>280</v>
      </c>
      <c r="F23" s="25" t="s">
        <v>123</v>
      </c>
      <c r="G23" s="31" t="s">
        <v>281</v>
      </c>
      <c r="H23" s="31" t="s">
        <v>663</v>
      </c>
      <c r="I23" s="31" t="s">
        <v>255</v>
      </c>
      <c r="J23" s="31">
        <v>79936</v>
      </c>
      <c r="K23" s="10" t="s">
        <v>282</v>
      </c>
      <c r="L23" s="23" t="s">
        <v>123</v>
      </c>
      <c r="M23" s="11" t="s">
        <v>123</v>
      </c>
      <c r="N23" s="10" t="s">
        <v>118</v>
      </c>
      <c r="O23" s="10" t="s">
        <v>123</v>
      </c>
      <c r="P23" s="10" t="s">
        <v>123</v>
      </c>
      <c r="Q23" s="10" t="s">
        <v>123</v>
      </c>
      <c r="R23" s="10" t="s">
        <v>123</v>
      </c>
      <c r="S23" s="10">
        <v>20010304</v>
      </c>
      <c r="T23" s="10">
        <v>2</v>
      </c>
      <c r="U23" s="10" t="s">
        <v>120</v>
      </c>
      <c r="V23" s="10" t="s">
        <v>121</v>
      </c>
      <c r="W23" s="10" t="s">
        <v>122</v>
      </c>
      <c r="X23" s="10">
        <v>250000</v>
      </c>
      <c r="Y23" s="10" t="str">
        <f t="shared" si="0"/>
        <v>2001</v>
      </c>
      <c r="Z23" s="10" t="str">
        <f t="shared" si="1"/>
        <v>0304</v>
      </c>
      <c r="AA23" s="10" t="str">
        <f t="shared" si="2"/>
        <v>03</v>
      </c>
      <c r="AB23" s="10" t="str">
        <f t="shared" si="3"/>
        <v>04</v>
      </c>
      <c r="AC23" s="10" t="str">
        <f t="shared" si="4"/>
        <v>2001-03-04</v>
      </c>
      <c r="AD23" s="10" t="s">
        <v>123</v>
      </c>
      <c r="AE23" s="10" t="s">
        <v>125</v>
      </c>
      <c r="AF23" s="10" t="s">
        <v>126</v>
      </c>
      <c r="AG23" s="10" t="s">
        <v>123</v>
      </c>
      <c r="AH23" s="10" t="s">
        <v>124</v>
      </c>
      <c r="AI23" s="10" t="s">
        <v>135</v>
      </c>
      <c r="AJ23" s="10" t="s">
        <v>123</v>
      </c>
      <c r="AK23" s="10">
        <v>30</v>
      </c>
      <c r="AL23" s="10">
        <v>0</v>
      </c>
      <c r="AM23" s="10">
        <v>0</v>
      </c>
      <c r="AN23" s="10" t="s">
        <v>124</v>
      </c>
      <c r="AO23" s="33">
        <v>0</v>
      </c>
      <c r="AP23" s="10" t="s">
        <v>123</v>
      </c>
      <c r="AQ23" s="10" t="s">
        <v>123</v>
      </c>
      <c r="AR23" s="10" t="s">
        <v>123</v>
      </c>
      <c r="AS23" s="10">
        <v>0</v>
      </c>
      <c r="AT23" s="10">
        <v>0</v>
      </c>
      <c r="AU23" s="33">
        <v>0</v>
      </c>
      <c r="AV23" s="10">
        <v>0</v>
      </c>
      <c r="AW23" s="10">
        <v>0</v>
      </c>
      <c r="AX23" s="10">
        <v>0</v>
      </c>
      <c r="AY23" s="10">
        <v>543.6</v>
      </c>
      <c r="AZ23" s="10">
        <v>60962.080000000002</v>
      </c>
      <c r="BA23" s="10">
        <v>20141204</v>
      </c>
      <c r="BB23" s="10">
        <v>500</v>
      </c>
      <c r="BC23" s="10">
        <v>0</v>
      </c>
      <c r="BD23" s="10">
        <v>0</v>
      </c>
      <c r="BE23" s="10">
        <v>0</v>
      </c>
      <c r="BF23" s="10">
        <v>20071023</v>
      </c>
      <c r="BG23" s="10">
        <v>107.38</v>
      </c>
      <c r="BH23" s="10" t="s">
        <v>123</v>
      </c>
      <c r="BI23" s="10" t="s">
        <v>123</v>
      </c>
      <c r="BJ23" s="10">
        <v>20110131</v>
      </c>
      <c r="BK23" s="10">
        <v>0</v>
      </c>
      <c r="BL23" s="10">
        <v>0</v>
      </c>
      <c r="BM23" s="10">
        <v>0</v>
      </c>
      <c r="BN23" s="10">
        <v>0</v>
      </c>
      <c r="BO23" s="10" t="s">
        <v>124</v>
      </c>
      <c r="BP23" s="10" t="s">
        <v>128</v>
      </c>
      <c r="BQ23" s="10" t="s">
        <v>128</v>
      </c>
      <c r="BR23" s="10" t="s">
        <v>124</v>
      </c>
      <c r="BS23" s="10" t="s">
        <v>123</v>
      </c>
      <c r="BT23" s="10" t="s">
        <v>173</v>
      </c>
      <c r="BU23" s="10" t="s">
        <v>123</v>
      </c>
      <c r="BV23" s="10" t="s">
        <v>123</v>
      </c>
      <c r="BW23" s="10" t="s">
        <v>123</v>
      </c>
      <c r="BX23" s="10" t="s">
        <v>123</v>
      </c>
      <c r="BY23" s="10">
        <v>0</v>
      </c>
      <c r="BZ23" s="10" t="s">
        <v>123</v>
      </c>
      <c r="CA23" s="10" t="s">
        <v>123</v>
      </c>
      <c r="CB23" s="10">
        <v>0</v>
      </c>
      <c r="CC23" s="10" t="s">
        <v>123</v>
      </c>
      <c r="CD23" s="10">
        <v>65000000</v>
      </c>
      <c r="CE23" s="10" t="s">
        <v>123</v>
      </c>
      <c r="CF23" s="10" t="s">
        <v>123</v>
      </c>
      <c r="CG23" s="10">
        <v>1708048</v>
      </c>
      <c r="CH23" s="10">
        <v>20</v>
      </c>
      <c r="CI23" s="10" t="s">
        <v>129</v>
      </c>
      <c r="CJ23" s="10">
        <v>3.08</v>
      </c>
      <c r="CK23" s="10" t="s">
        <v>123</v>
      </c>
      <c r="CL23" s="10" t="s">
        <v>123</v>
      </c>
      <c r="CM23" s="10" t="s">
        <v>123</v>
      </c>
      <c r="CN23" s="10" t="s">
        <v>123</v>
      </c>
      <c r="CO23" s="10">
        <v>0</v>
      </c>
      <c r="CP23" s="10">
        <v>0</v>
      </c>
      <c r="CQ23" s="10">
        <v>0</v>
      </c>
      <c r="CR23" s="10" t="s">
        <v>123</v>
      </c>
      <c r="CS23" s="10" t="s">
        <v>123</v>
      </c>
      <c r="CT23" s="10" t="s">
        <v>123</v>
      </c>
      <c r="CU23" s="10" t="s">
        <v>123</v>
      </c>
      <c r="CV23" s="10">
        <v>9</v>
      </c>
    </row>
    <row r="24" spans="1:100" x14ac:dyDescent="0.25">
      <c r="A24" s="27">
        <v>37</v>
      </c>
      <c r="B24" s="21" t="s">
        <v>283</v>
      </c>
      <c r="C24" s="21" t="s">
        <v>609</v>
      </c>
      <c r="D24" s="22" t="s">
        <v>796</v>
      </c>
      <c r="E24" s="32" t="s">
        <v>284</v>
      </c>
      <c r="F24" s="25" t="s">
        <v>285</v>
      </c>
      <c r="G24" s="31" t="s">
        <v>286</v>
      </c>
      <c r="H24" s="31" t="s">
        <v>664</v>
      </c>
      <c r="I24" s="31" t="s">
        <v>255</v>
      </c>
      <c r="J24" s="31">
        <v>981700</v>
      </c>
      <c r="K24" s="10" t="s">
        <v>134</v>
      </c>
      <c r="L24" s="23" t="s">
        <v>287</v>
      </c>
      <c r="M24" s="11" t="s">
        <v>123</v>
      </c>
      <c r="N24" s="10" t="s">
        <v>118</v>
      </c>
      <c r="O24" s="10" t="s">
        <v>123</v>
      </c>
      <c r="P24" s="10" t="s">
        <v>123</v>
      </c>
      <c r="Q24" s="10" t="s">
        <v>123</v>
      </c>
      <c r="R24" s="10" t="s">
        <v>123</v>
      </c>
      <c r="S24" s="10">
        <v>20061220</v>
      </c>
      <c r="T24" s="10">
        <v>2</v>
      </c>
      <c r="U24" s="10" t="s">
        <v>120</v>
      </c>
      <c r="V24" s="10" t="s">
        <v>121</v>
      </c>
      <c r="W24" s="10" t="s">
        <v>122</v>
      </c>
      <c r="X24" s="10" t="s">
        <v>123</v>
      </c>
      <c r="Y24" s="10" t="str">
        <f t="shared" si="0"/>
        <v>2006</v>
      </c>
      <c r="Z24" s="10" t="str">
        <f t="shared" si="1"/>
        <v>1220</v>
      </c>
      <c r="AA24" s="10" t="str">
        <f t="shared" si="2"/>
        <v>12</v>
      </c>
      <c r="AB24" s="10" t="str">
        <f t="shared" si="3"/>
        <v>20</v>
      </c>
      <c r="AC24" s="10" t="str">
        <f t="shared" si="4"/>
        <v>2006-12-20</v>
      </c>
      <c r="AD24" s="10" t="s">
        <v>123</v>
      </c>
      <c r="AE24" s="10" t="s">
        <v>123</v>
      </c>
      <c r="AF24" s="10" t="s">
        <v>126</v>
      </c>
      <c r="AG24" s="10" t="s">
        <v>123</v>
      </c>
      <c r="AH24" s="10" t="s">
        <v>124</v>
      </c>
      <c r="AI24" s="10" t="s">
        <v>135</v>
      </c>
      <c r="AJ24" s="10" t="s">
        <v>123</v>
      </c>
      <c r="AK24" s="10">
        <v>30</v>
      </c>
      <c r="AL24" s="10">
        <v>0</v>
      </c>
      <c r="AM24" s="10">
        <v>0</v>
      </c>
      <c r="AN24" s="10" t="s">
        <v>124</v>
      </c>
      <c r="AO24" s="10" t="s">
        <v>123</v>
      </c>
      <c r="AP24" s="10" t="s">
        <v>123</v>
      </c>
      <c r="AQ24" s="10" t="s">
        <v>123</v>
      </c>
      <c r="AR24" s="10" t="s">
        <v>123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12287.77</v>
      </c>
      <c r="AZ24" s="10">
        <v>245762.2</v>
      </c>
      <c r="BA24" s="10">
        <v>20171123</v>
      </c>
      <c r="BB24" s="10">
        <v>133.4</v>
      </c>
      <c r="BC24" s="10">
        <v>0</v>
      </c>
      <c r="BD24" s="10">
        <v>0</v>
      </c>
      <c r="BE24" s="10">
        <v>0</v>
      </c>
      <c r="BF24" s="10">
        <v>20100602</v>
      </c>
      <c r="BG24" s="10">
        <v>3405.78</v>
      </c>
      <c r="BH24" s="10" t="s">
        <v>123</v>
      </c>
      <c r="BI24" s="10" t="s">
        <v>123</v>
      </c>
      <c r="BJ24" s="10">
        <v>20110131</v>
      </c>
      <c r="BK24" s="10">
        <v>0</v>
      </c>
      <c r="BL24" s="10">
        <v>0</v>
      </c>
      <c r="BM24" s="10">
        <v>0</v>
      </c>
      <c r="BN24" s="10">
        <v>-630.6</v>
      </c>
      <c r="BO24" s="10" t="s">
        <v>124</v>
      </c>
      <c r="BP24" s="10" t="s">
        <v>128</v>
      </c>
      <c r="BQ24" s="10" t="s">
        <v>128</v>
      </c>
      <c r="BR24" s="10" t="s">
        <v>124</v>
      </c>
      <c r="BS24" s="10" t="s">
        <v>123</v>
      </c>
      <c r="BT24" s="10" t="s">
        <v>260</v>
      </c>
      <c r="BU24" s="10" t="s">
        <v>123</v>
      </c>
      <c r="BV24" s="10" t="s">
        <v>157</v>
      </c>
      <c r="BW24" s="10" t="s">
        <v>123</v>
      </c>
      <c r="BX24" s="10" t="s">
        <v>123</v>
      </c>
      <c r="BY24" s="10">
        <v>0</v>
      </c>
      <c r="BZ24" s="10" t="s">
        <v>123</v>
      </c>
      <c r="CA24" s="10" t="s">
        <v>123</v>
      </c>
      <c r="CB24" s="10">
        <v>0</v>
      </c>
      <c r="CC24" s="10" t="s">
        <v>123</v>
      </c>
      <c r="CD24" s="10">
        <v>70000000</v>
      </c>
      <c r="CE24" s="10" t="s">
        <v>123</v>
      </c>
      <c r="CF24" s="10" t="s">
        <v>123</v>
      </c>
      <c r="CG24" s="10" t="s">
        <v>123</v>
      </c>
      <c r="CH24" s="10">
        <v>26</v>
      </c>
      <c r="CI24" s="10" t="s">
        <v>129</v>
      </c>
      <c r="CJ24" s="10" t="s">
        <v>123</v>
      </c>
      <c r="CK24" s="10" t="s">
        <v>123</v>
      </c>
      <c r="CL24" s="10" t="s">
        <v>123</v>
      </c>
      <c r="CM24" s="10" t="s">
        <v>123</v>
      </c>
      <c r="CN24" s="10" t="s">
        <v>123</v>
      </c>
      <c r="CO24" s="10">
        <v>0</v>
      </c>
      <c r="CP24" s="10">
        <v>0</v>
      </c>
      <c r="CQ24" s="10">
        <v>-630.6</v>
      </c>
      <c r="CR24" s="10" t="s">
        <v>123</v>
      </c>
      <c r="CS24" s="10" t="s">
        <v>123</v>
      </c>
      <c r="CT24" s="10" t="s">
        <v>123</v>
      </c>
      <c r="CU24" s="10" t="s">
        <v>123</v>
      </c>
      <c r="CV24" s="10">
        <v>37</v>
      </c>
    </row>
    <row r="25" spans="1:100" x14ac:dyDescent="0.25">
      <c r="A25" s="27">
        <v>38</v>
      </c>
      <c r="B25" s="21" t="s">
        <v>288</v>
      </c>
      <c r="C25" s="21" t="s">
        <v>610</v>
      </c>
      <c r="D25" s="22" t="s">
        <v>797</v>
      </c>
      <c r="E25" s="32" t="s">
        <v>289</v>
      </c>
      <c r="F25" s="25" t="s">
        <v>290</v>
      </c>
      <c r="G25" s="31" t="s">
        <v>286</v>
      </c>
      <c r="H25" s="31" t="s">
        <v>664</v>
      </c>
      <c r="I25" s="31" t="s">
        <v>123</v>
      </c>
      <c r="J25" s="31">
        <v>79998</v>
      </c>
      <c r="K25" s="10" t="s">
        <v>134</v>
      </c>
      <c r="L25" s="23" t="s">
        <v>291</v>
      </c>
      <c r="M25" s="11" t="s">
        <v>123</v>
      </c>
      <c r="N25" s="10" t="s">
        <v>118</v>
      </c>
      <c r="O25" s="10" t="s">
        <v>123</v>
      </c>
      <c r="P25" s="10" t="s">
        <v>123</v>
      </c>
      <c r="Q25" s="10" t="s">
        <v>123</v>
      </c>
      <c r="R25" s="10" t="s">
        <v>123</v>
      </c>
      <c r="S25" s="10">
        <v>20070118</v>
      </c>
      <c r="T25" s="10">
        <v>11</v>
      </c>
      <c r="U25" s="10" t="s">
        <v>120</v>
      </c>
      <c r="V25" s="10" t="s">
        <v>121</v>
      </c>
      <c r="W25" s="10" t="s">
        <v>122</v>
      </c>
      <c r="X25" s="10" t="s">
        <v>123</v>
      </c>
      <c r="Y25" s="10" t="str">
        <f t="shared" si="0"/>
        <v>2007</v>
      </c>
      <c r="Z25" s="10" t="str">
        <f t="shared" si="1"/>
        <v>0118</v>
      </c>
      <c r="AA25" s="10" t="str">
        <f t="shared" si="2"/>
        <v>01</v>
      </c>
      <c r="AB25" s="10" t="str">
        <f t="shared" si="3"/>
        <v>18</v>
      </c>
      <c r="AC25" s="10" t="str">
        <f t="shared" si="4"/>
        <v>2007-01-18</v>
      </c>
      <c r="AD25" s="10" t="s">
        <v>123</v>
      </c>
      <c r="AE25" s="10" t="s">
        <v>123</v>
      </c>
      <c r="AF25" s="10" t="s">
        <v>126</v>
      </c>
      <c r="AG25" s="10" t="s">
        <v>123</v>
      </c>
      <c r="AH25" s="10" t="s">
        <v>124</v>
      </c>
      <c r="AI25" s="10" t="s">
        <v>135</v>
      </c>
      <c r="AJ25" s="10" t="s">
        <v>123</v>
      </c>
      <c r="AK25" s="10">
        <v>30</v>
      </c>
      <c r="AL25" s="10">
        <v>0</v>
      </c>
      <c r="AM25" s="10">
        <v>0</v>
      </c>
      <c r="AN25" s="10" t="s">
        <v>124</v>
      </c>
      <c r="AO25" s="10" t="s">
        <v>123</v>
      </c>
      <c r="AP25" s="10" t="s">
        <v>123</v>
      </c>
      <c r="AQ25" s="10" t="s">
        <v>123</v>
      </c>
      <c r="AR25" s="10" t="s">
        <v>123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1306851.6000000001</v>
      </c>
      <c r="BA25" s="10">
        <v>20070427</v>
      </c>
      <c r="BB25" s="10">
        <v>62678.400000000001</v>
      </c>
      <c r="BC25" s="10">
        <v>0</v>
      </c>
      <c r="BD25" s="10">
        <v>0</v>
      </c>
      <c r="BE25" s="10">
        <v>0</v>
      </c>
      <c r="BF25" s="10">
        <v>20070720</v>
      </c>
      <c r="BG25" s="10">
        <v>599345.19999999995</v>
      </c>
      <c r="BH25" s="10" t="s">
        <v>123</v>
      </c>
      <c r="BI25" s="10" t="s">
        <v>123</v>
      </c>
      <c r="BJ25" s="10">
        <v>20110131</v>
      </c>
      <c r="BK25" s="10">
        <v>0</v>
      </c>
      <c r="BL25" s="10">
        <v>0</v>
      </c>
      <c r="BM25" s="10">
        <v>0</v>
      </c>
      <c r="BN25" s="10">
        <v>0</v>
      </c>
      <c r="BO25" s="10" t="s">
        <v>124</v>
      </c>
      <c r="BP25" s="10" t="s">
        <v>128</v>
      </c>
      <c r="BQ25" s="10" t="s">
        <v>128</v>
      </c>
      <c r="BR25" s="10" t="s">
        <v>124</v>
      </c>
      <c r="BS25" s="10" t="s">
        <v>123</v>
      </c>
      <c r="BT25" s="10" t="s">
        <v>123</v>
      </c>
      <c r="BU25" s="10" t="s">
        <v>123</v>
      </c>
      <c r="BV25" s="10" t="s">
        <v>157</v>
      </c>
      <c r="BW25" s="10" t="s">
        <v>123</v>
      </c>
      <c r="BX25" s="10" t="s">
        <v>123</v>
      </c>
      <c r="BY25" s="10">
        <v>0</v>
      </c>
      <c r="BZ25" s="10" t="s">
        <v>123</v>
      </c>
      <c r="CA25" s="10" t="s">
        <v>123</v>
      </c>
      <c r="CB25" s="10">
        <v>0</v>
      </c>
      <c r="CC25" s="10" t="s">
        <v>123</v>
      </c>
      <c r="CD25" s="10">
        <v>69000000</v>
      </c>
      <c r="CE25" s="10" t="s">
        <v>123</v>
      </c>
      <c r="CF25" s="10" t="s">
        <v>123</v>
      </c>
      <c r="CG25" s="10" t="s">
        <v>123</v>
      </c>
      <c r="CH25" s="10">
        <v>26</v>
      </c>
      <c r="CI25" s="10" t="s">
        <v>129</v>
      </c>
      <c r="CJ25" s="10" t="s">
        <v>123</v>
      </c>
      <c r="CK25" s="10" t="s">
        <v>123</v>
      </c>
      <c r="CL25" s="10" t="s">
        <v>123</v>
      </c>
      <c r="CM25" s="10" t="s">
        <v>123</v>
      </c>
      <c r="CN25" s="10" t="s">
        <v>123</v>
      </c>
      <c r="CO25" s="10">
        <v>0</v>
      </c>
      <c r="CP25" s="10">
        <v>0</v>
      </c>
      <c r="CQ25" s="10">
        <v>0</v>
      </c>
      <c r="CR25" s="10" t="s">
        <v>123</v>
      </c>
      <c r="CS25" s="10" t="s">
        <v>123</v>
      </c>
      <c r="CT25" s="10" t="s">
        <v>123</v>
      </c>
      <c r="CU25" s="10" t="s">
        <v>123</v>
      </c>
      <c r="CV25" s="10">
        <v>38</v>
      </c>
    </row>
    <row r="26" spans="1:100" x14ac:dyDescent="0.25">
      <c r="A26" s="27">
        <v>48</v>
      </c>
      <c r="B26" s="21" t="s">
        <v>292</v>
      </c>
      <c r="C26" s="21" t="s">
        <v>611</v>
      </c>
      <c r="D26" s="22" t="s">
        <v>779</v>
      </c>
      <c r="E26" s="32" t="s">
        <v>293</v>
      </c>
      <c r="F26" s="25" t="s">
        <v>123</v>
      </c>
      <c r="G26" s="31" t="s">
        <v>140</v>
      </c>
      <c r="H26" s="31" t="s">
        <v>648</v>
      </c>
      <c r="I26" s="31" t="s">
        <v>133</v>
      </c>
      <c r="J26" s="31">
        <v>11021</v>
      </c>
      <c r="K26" s="10" t="s">
        <v>134</v>
      </c>
      <c r="L26" s="23" t="s">
        <v>141</v>
      </c>
      <c r="M26" s="11" t="s">
        <v>123</v>
      </c>
      <c r="N26" s="10" t="s">
        <v>118</v>
      </c>
      <c r="O26" s="10" t="s">
        <v>123</v>
      </c>
      <c r="P26" s="10" t="s">
        <v>123</v>
      </c>
      <c r="Q26" s="10" t="s">
        <v>123</v>
      </c>
      <c r="R26" s="10" t="s">
        <v>123</v>
      </c>
      <c r="S26" s="10">
        <v>20151207</v>
      </c>
      <c r="T26" s="10">
        <v>2</v>
      </c>
      <c r="U26" s="10" t="s">
        <v>143</v>
      </c>
      <c r="V26" s="10" t="s">
        <v>121</v>
      </c>
      <c r="W26" s="10" t="s">
        <v>122</v>
      </c>
      <c r="X26" s="10" t="s">
        <v>123</v>
      </c>
      <c r="Y26" s="10" t="str">
        <f t="shared" si="0"/>
        <v>2015</v>
      </c>
      <c r="Z26" s="10" t="str">
        <f t="shared" si="1"/>
        <v>1207</v>
      </c>
      <c r="AA26" s="10" t="str">
        <f t="shared" si="2"/>
        <v>12</v>
      </c>
      <c r="AB26" s="10" t="str">
        <f t="shared" si="3"/>
        <v>07</v>
      </c>
      <c r="AC26" s="10" t="str">
        <f t="shared" si="4"/>
        <v>2015-12-07</v>
      </c>
      <c r="AD26" s="10" t="s">
        <v>123</v>
      </c>
      <c r="AE26" s="10" t="s">
        <v>123</v>
      </c>
      <c r="AF26" s="10" t="s">
        <v>126</v>
      </c>
      <c r="AG26" s="10" t="s">
        <v>123</v>
      </c>
      <c r="AH26" s="10" t="s">
        <v>124</v>
      </c>
      <c r="AI26" s="10" t="s">
        <v>188</v>
      </c>
      <c r="AJ26" s="10" t="s">
        <v>123</v>
      </c>
      <c r="AK26" s="10" t="s">
        <v>145</v>
      </c>
      <c r="AL26" s="10">
        <v>0</v>
      </c>
      <c r="AM26" s="10">
        <v>0</v>
      </c>
      <c r="AN26" s="10" t="s">
        <v>124</v>
      </c>
      <c r="AO26" s="33">
        <v>0</v>
      </c>
      <c r="AP26" s="10" t="s">
        <v>123</v>
      </c>
      <c r="AQ26" s="10" t="s">
        <v>123</v>
      </c>
      <c r="AR26" s="10" t="s">
        <v>123</v>
      </c>
      <c r="AS26" s="10">
        <v>0</v>
      </c>
      <c r="AT26" s="10">
        <v>0</v>
      </c>
      <c r="AU26" s="33">
        <v>0</v>
      </c>
      <c r="AV26" s="10">
        <v>0</v>
      </c>
      <c r="AW26" s="10">
        <v>0</v>
      </c>
      <c r="AX26" s="10">
        <v>0</v>
      </c>
      <c r="AY26" s="10">
        <v>964169.79</v>
      </c>
      <c r="AZ26" s="10">
        <v>964169.79</v>
      </c>
      <c r="BA26" s="10">
        <v>20181002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 t="s">
        <v>123</v>
      </c>
      <c r="BI26" s="10" t="s">
        <v>123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 t="s">
        <v>124</v>
      </c>
      <c r="BP26" s="10" t="s">
        <v>128</v>
      </c>
      <c r="BQ26" s="10" t="s">
        <v>128</v>
      </c>
      <c r="BR26" s="10" t="s">
        <v>124</v>
      </c>
      <c r="BS26" s="10" t="s">
        <v>123</v>
      </c>
      <c r="BT26" s="10" t="s">
        <v>123</v>
      </c>
      <c r="BU26" s="10" t="s">
        <v>123</v>
      </c>
      <c r="BV26" s="10" t="s">
        <v>123</v>
      </c>
      <c r="BW26" s="10" t="s">
        <v>123</v>
      </c>
      <c r="BX26" s="10" t="s">
        <v>123</v>
      </c>
      <c r="BY26" s="10">
        <v>0</v>
      </c>
      <c r="BZ26" s="10" t="s">
        <v>123</v>
      </c>
      <c r="CA26" s="10" t="s">
        <v>123</v>
      </c>
      <c r="CB26" s="10">
        <v>0</v>
      </c>
      <c r="CC26" s="10" t="s">
        <v>123</v>
      </c>
      <c r="CD26" s="10">
        <v>69000000</v>
      </c>
      <c r="CE26" s="10" t="s">
        <v>123</v>
      </c>
      <c r="CF26" s="10" t="s">
        <v>123</v>
      </c>
      <c r="CG26" s="10" t="s">
        <v>123</v>
      </c>
      <c r="CH26" s="10">
        <v>26</v>
      </c>
      <c r="CI26" s="10" t="s">
        <v>123</v>
      </c>
      <c r="CJ26" s="10" t="s">
        <v>123</v>
      </c>
      <c r="CK26" s="10" t="s">
        <v>123</v>
      </c>
      <c r="CL26" s="10" t="s">
        <v>123</v>
      </c>
      <c r="CM26" s="10" t="s">
        <v>123</v>
      </c>
      <c r="CN26" s="10" t="s">
        <v>123</v>
      </c>
      <c r="CO26" s="10">
        <v>0</v>
      </c>
      <c r="CP26" s="10">
        <v>0</v>
      </c>
      <c r="CQ26" s="10">
        <v>0</v>
      </c>
      <c r="CR26" s="10" t="s">
        <v>123</v>
      </c>
      <c r="CS26" s="10" t="s">
        <v>123</v>
      </c>
      <c r="CT26" s="10" t="s">
        <v>123</v>
      </c>
      <c r="CU26" s="10" t="s">
        <v>123</v>
      </c>
      <c r="CV26" s="10">
        <v>48</v>
      </c>
    </row>
    <row r="27" spans="1:100" x14ac:dyDescent="0.25">
      <c r="A27" s="27">
        <v>39</v>
      </c>
      <c r="B27" s="21" t="s">
        <v>294</v>
      </c>
      <c r="C27" s="21" t="s">
        <v>612</v>
      </c>
      <c r="D27" s="22" t="s">
        <v>798</v>
      </c>
      <c r="E27" s="32" t="s">
        <v>295</v>
      </c>
      <c r="F27" s="25" t="s">
        <v>296</v>
      </c>
      <c r="G27" s="31" t="s">
        <v>297</v>
      </c>
      <c r="H27" s="31" t="s">
        <v>665</v>
      </c>
      <c r="I27" s="31" t="s">
        <v>255</v>
      </c>
      <c r="J27" s="31">
        <v>78577</v>
      </c>
      <c r="K27" s="10" t="s">
        <v>134</v>
      </c>
      <c r="L27" s="23" t="s">
        <v>298</v>
      </c>
      <c r="M27" s="11" t="s">
        <v>123</v>
      </c>
      <c r="N27" s="10">
        <v>12486153090</v>
      </c>
      <c r="O27" s="10" t="s">
        <v>123</v>
      </c>
      <c r="P27" s="10" t="s">
        <v>123</v>
      </c>
      <c r="Q27" s="10" t="s">
        <v>123</v>
      </c>
      <c r="R27" s="10">
        <v>12486153098</v>
      </c>
      <c r="S27" s="10">
        <v>20080129</v>
      </c>
      <c r="T27" s="10">
        <v>2</v>
      </c>
      <c r="U27" s="10" t="s">
        <v>120</v>
      </c>
      <c r="V27" s="10" t="s">
        <v>121</v>
      </c>
      <c r="W27" s="10" t="s">
        <v>122</v>
      </c>
      <c r="X27" s="10" t="s">
        <v>123</v>
      </c>
      <c r="Y27" s="10" t="str">
        <f t="shared" si="0"/>
        <v>2008</v>
      </c>
      <c r="Z27" s="10" t="str">
        <f t="shared" si="1"/>
        <v>0129</v>
      </c>
      <c r="AA27" s="10" t="str">
        <f t="shared" si="2"/>
        <v>01</v>
      </c>
      <c r="AB27" s="10" t="str">
        <f t="shared" si="3"/>
        <v>29</v>
      </c>
      <c r="AC27" s="10" t="str">
        <f t="shared" si="4"/>
        <v>2008-01-29</v>
      </c>
      <c r="AD27" s="10" t="s">
        <v>123</v>
      </c>
      <c r="AE27" s="10" t="s">
        <v>123</v>
      </c>
      <c r="AF27" s="10" t="s">
        <v>126</v>
      </c>
      <c r="AG27" s="10" t="s">
        <v>123</v>
      </c>
      <c r="AH27" s="10" t="s">
        <v>124</v>
      </c>
      <c r="AI27" s="10" t="s">
        <v>135</v>
      </c>
      <c r="AJ27" s="10" t="s">
        <v>123</v>
      </c>
      <c r="AK27" s="10">
        <v>45</v>
      </c>
      <c r="AL27" s="10">
        <v>0</v>
      </c>
      <c r="AM27" s="10">
        <v>0</v>
      </c>
      <c r="AN27" s="10" t="s">
        <v>124</v>
      </c>
      <c r="AO27" s="10" t="s">
        <v>123</v>
      </c>
      <c r="AP27" s="10" t="s">
        <v>123</v>
      </c>
      <c r="AQ27" s="10" t="s">
        <v>123</v>
      </c>
      <c r="AR27" s="10" t="s">
        <v>123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2243.09</v>
      </c>
      <c r="AZ27" s="10">
        <v>26874.1</v>
      </c>
      <c r="BA27" s="10">
        <v>20160511</v>
      </c>
      <c r="BB27" s="10">
        <v>63</v>
      </c>
      <c r="BC27" s="10">
        <v>0</v>
      </c>
      <c r="BD27" s="10">
        <v>0</v>
      </c>
      <c r="BE27" s="10">
        <v>0</v>
      </c>
      <c r="BF27" s="10">
        <v>20111101</v>
      </c>
      <c r="BG27" s="10">
        <v>24694.01</v>
      </c>
      <c r="BH27" s="10" t="s">
        <v>123</v>
      </c>
      <c r="BI27" s="10" t="s">
        <v>123</v>
      </c>
      <c r="BJ27" s="10">
        <v>20110131</v>
      </c>
      <c r="BK27" s="10">
        <v>0</v>
      </c>
      <c r="BL27" s="10">
        <v>0</v>
      </c>
      <c r="BM27" s="10">
        <v>0</v>
      </c>
      <c r="BN27" s="10">
        <v>3.82</v>
      </c>
      <c r="BO27" s="10" t="s">
        <v>124</v>
      </c>
      <c r="BP27" s="10" t="s">
        <v>128</v>
      </c>
      <c r="BQ27" s="10" t="s">
        <v>128</v>
      </c>
      <c r="BR27" s="10" t="s">
        <v>124</v>
      </c>
      <c r="BS27" s="10" t="s">
        <v>299</v>
      </c>
      <c r="BT27" s="10" t="s">
        <v>260</v>
      </c>
      <c r="BU27" s="10" t="s">
        <v>123</v>
      </c>
      <c r="BV27" s="10" t="s">
        <v>157</v>
      </c>
      <c r="BW27" s="10" t="s">
        <v>123</v>
      </c>
      <c r="BX27" s="10" t="s">
        <v>123</v>
      </c>
      <c r="BY27" s="10">
        <v>0</v>
      </c>
      <c r="BZ27" s="10" t="s">
        <v>123</v>
      </c>
      <c r="CA27" s="10" t="s">
        <v>123</v>
      </c>
      <c r="CB27" s="10">
        <v>0</v>
      </c>
      <c r="CC27" s="10" t="s">
        <v>123</v>
      </c>
      <c r="CD27" s="10">
        <v>65000000</v>
      </c>
      <c r="CE27" s="10" t="s">
        <v>123</v>
      </c>
      <c r="CF27" s="10" t="s">
        <v>123</v>
      </c>
      <c r="CG27" s="10" t="s">
        <v>123</v>
      </c>
      <c r="CH27" s="10">
        <v>26</v>
      </c>
      <c r="CI27" s="10" t="s">
        <v>129</v>
      </c>
      <c r="CJ27" s="10" t="s">
        <v>123</v>
      </c>
      <c r="CK27" s="10" t="s">
        <v>123</v>
      </c>
      <c r="CL27" s="10" t="s">
        <v>123</v>
      </c>
      <c r="CM27" s="10" t="s">
        <v>123</v>
      </c>
      <c r="CN27" s="10" t="s">
        <v>123</v>
      </c>
      <c r="CO27" s="10">
        <v>0</v>
      </c>
      <c r="CP27" s="10">
        <v>0</v>
      </c>
      <c r="CQ27" s="10">
        <v>3.82</v>
      </c>
      <c r="CR27" s="10" t="s">
        <v>123</v>
      </c>
      <c r="CS27" s="10" t="s">
        <v>123</v>
      </c>
      <c r="CT27" s="10" t="s">
        <v>123</v>
      </c>
      <c r="CU27" s="10" t="s">
        <v>123</v>
      </c>
      <c r="CV27" s="10">
        <v>39</v>
      </c>
    </row>
    <row r="28" spans="1:100" x14ac:dyDescent="0.25">
      <c r="A28" s="27">
        <v>10</v>
      </c>
      <c r="B28" s="21" t="s">
        <v>300</v>
      </c>
      <c r="C28" s="21" t="s">
        <v>613</v>
      </c>
      <c r="D28" s="22" t="s">
        <v>799</v>
      </c>
      <c r="E28" s="32" t="s">
        <v>301</v>
      </c>
      <c r="F28" s="25" t="s">
        <v>123</v>
      </c>
      <c r="G28" s="31" t="s">
        <v>302</v>
      </c>
      <c r="H28" s="31" t="s">
        <v>666</v>
      </c>
      <c r="I28" s="31" t="s">
        <v>114</v>
      </c>
      <c r="J28" s="31">
        <v>48843</v>
      </c>
      <c r="K28" s="10" t="s">
        <v>134</v>
      </c>
      <c r="L28" s="23" t="s">
        <v>303</v>
      </c>
      <c r="M28" s="11" t="s">
        <v>123</v>
      </c>
      <c r="N28" s="10" t="s">
        <v>304</v>
      </c>
      <c r="O28" s="10" t="s">
        <v>123</v>
      </c>
      <c r="P28" s="10" t="s">
        <v>123</v>
      </c>
      <c r="Q28" s="10" t="s">
        <v>123</v>
      </c>
      <c r="R28" s="10" t="s">
        <v>305</v>
      </c>
      <c r="S28" s="10">
        <v>20010426</v>
      </c>
      <c r="T28" s="10">
        <v>8</v>
      </c>
      <c r="U28" s="10" t="s">
        <v>250</v>
      </c>
      <c r="V28" s="10" t="s">
        <v>121</v>
      </c>
      <c r="W28" s="10" t="s">
        <v>122</v>
      </c>
      <c r="X28" s="10">
        <v>5000</v>
      </c>
      <c r="Y28" s="10" t="str">
        <f t="shared" si="0"/>
        <v>2001</v>
      </c>
      <c r="Z28" s="10" t="str">
        <f t="shared" si="1"/>
        <v>0426</v>
      </c>
      <c r="AA28" s="10" t="str">
        <f t="shared" si="2"/>
        <v>04</v>
      </c>
      <c r="AB28" s="10" t="str">
        <f t="shared" si="3"/>
        <v>26</v>
      </c>
      <c r="AC28" s="10" t="str">
        <f t="shared" si="4"/>
        <v>2001-04-26</v>
      </c>
      <c r="AD28" s="10" t="s">
        <v>123</v>
      </c>
      <c r="AE28" s="10" t="s">
        <v>123</v>
      </c>
      <c r="AF28" s="10" t="s">
        <v>126</v>
      </c>
      <c r="AG28" s="10" t="s">
        <v>123</v>
      </c>
      <c r="AH28" s="10" t="s">
        <v>124</v>
      </c>
      <c r="AI28" s="10" t="s">
        <v>188</v>
      </c>
      <c r="AJ28" s="10" t="s">
        <v>123</v>
      </c>
      <c r="AK28" s="10">
        <v>30</v>
      </c>
      <c r="AL28" s="10">
        <v>0</v>
      </c>
      <c r="AM28" s="10">
        <v>0</v>
      </c>
      <c r="AN28" s="10" t="s">
        <v>124</v>
      </c>
      <c r="AO28" s="33">
        <v>0</v>
      </c>
      <c r="AP28" s="10" t="s">
        <v>123</v>
      </c>
      <c r="AQ28" s="10" t="s">
        <v>123</v>
      </c>
      <c r="AR28" s="10" t="s">
        <v>123</v>
      </c>
      <c r="AS28" s="10">
        <v>0</v>
      </c>
      <c r="AT28" s="10">
        <v>0</v>
      </c>
      <c r="AU28" s="33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2657.13</v>
      </c>
      <c r="BA28" s="10">
        <v>20050719</v>
      </c>
      <c r="BB28" s="10">
        <v>1600.07</v>
      </c>
      <c r="BC28" s="10">
        <v>0</v>
      </c>
      <c r="BD28" s="10">
        <v>0</v>
      </c>
      <c r="BE28" s="10">
        <v>0</v>
      </c>
      <c r="BF28" s="10">
        <v>20051114</v>
      </c>
      <c r="BG28" s="10">
        <v>1600.07</v>
      </c>
      <c r="BH28" s="10" t="s">
        <v>123</v>
      </c>
      <c r="BI28" s="10" t="s">
        <v>123</v>
      </c>
      <c r="BJ28" s="10">
        <v>20110131</v>
      </c>
      <c r="BK28" s="10">
        <v>0</v>
      </c>
      <c r="BL28" s="10">
        <v>0</v>
      </c>
      <c r="BM28" s="10">
        <v>0</v>
      </c>
      <c r="BN28" s="10">
        <v>0</v>
      </c>
      <c r="BO28" s="10" t="s">
        <v>124</v>
      </c>
      <c r="BP28" s="10" t="s">
        <v>128</v>
      </c>
      <c r="BQ28" s="10" t="s">
        <v>128</v>
      </c>
      <c r="BR28" s="10" t="s">
        <v>124</v>
      </c>
      <c r="BS28" s="10" t="s">
        <v>123</v>
      </c>
      <c r="BT28" s="10" t="s">
        <v>173</v>
      </c>
      <c r="BU28" s="10" t="s">
        <v>123</v>
      </c>
      <c r="BV28" s="10" t="s">
        <v>123</v>
      </c>
      <c r="BW28" s="10" t="s">
        <v>123</v>
      </c>
      <c r="BX28" s="10" t="s">
        <v>123</v>
      </c>
      <c r="BY28" s="10">
        <v>0</v>
      </c>
      <c r="BZ28" s="10" t="s">
        <v>123</v>
      </c>
      <c r="CA28" s="10" t="s">
        <v>123</v>
      </c>
      <c r="CB28" s="10">
        <v>0</v>
      </c>
      <c r="CC28" s="10" t="s">
        <v>123</v>
      </c>
      <c r="CD28" s="10">
        <v>0</v>
      </c>
      <c r="CE28" s="10" t="s">
        <v>123</v>
      </c>
      <c r="CF28" s="10" t="s">
        <v>123</v>
      </c>
      <c r="CG28" s="10" t="s">
        <v>123</v>
      </c>
      <c r="CH28" s="10">
        <v>26</v>
      </c>
      <c r="CI28" s="10" t="s">
        <v>123</v>
      </c>
      <c r="CJ28" s="10" t="s">
        <v>123</v>
      </c>
      <c r="CK28" s="10" t="s">
        <v>123</v>
      </c>
      <c r="CL28" s="10" t="s">
        <v>123</v>
      </c>
      <c r="CM28" s="10" t="s">
        <v>123</v>
      </c>
      <c r="CN28" s="10" t="s">
        <v>123</v>
      </c>
      <c r="CO28" s="10">
        <v>0</v>
      </c>
      <c r="CP28" s="10">
        <v>0</v>
      </c>
      <c r="CQ28" s="10">
        <v>0</v>
      </c>
      <c r="CR28" s="10" t="s">
        <v>306</v>
      </c>
      <c r="CS28" s="10" t="s">
        <v>123</v>
      </c>
      <c r="CT28" s="10" t="s">
        <v>123</v>
      </c>
      <c r="CU28" s="10" t="s">
        <v>123</v>
      </c>
      <c r="CV28" s="10">
        <v>10</v>
      </c>
    </row>
    <row r="29" spans="1:100" x14ac:dyDescent="0.25">
      <c r="A29" s="27">
        <v>11</v>
      </c>
      <c r="B29" s="21" t="s">
        <v>307</v>
      </c>
      <c r="C29" s="21" t="s">
        <v>614</v>
      </c>
      <c r="D29" s="22" t="s">
        <v>795</v>
      </c>
      <c r="E29" s="32" t="s">
        <v>308</v>
      </c>
      <c r="F29" s="25" t="s">
        <v>123</v>
      </c>
      <c r="G29" s="31" t="s">
        <v>286</v>
      </c>
      <c r="H29" s="31" t="s">
        <v>664</v>
      </c>
      <c r="I29" s="31" t="s">
        <v>255</v>
      </c>
      <c r="J29" s="31">
        <v>79936</v>
      </c>
      <c r="K29" s="10" t="s">
        <v>134</v>
      </c>
      <c r="L29" s="23" t="s">
        <v>123</v>
      </c>
      <c r="M29" s="11" t="s">
        <v>123</v>
      </c>
      <c r="N29" s="10" t="s">
        <v>309</v>
      </c>
      <c r="O29" s="10" t="s">
        <v>123</v>
      </c>
      <c r="P29" s="10" t="s">
        <v>123</v>
      </c>
      <c r="Q29" s="10" t="s">
        <v>123</v>
      </c>
      <c r="R29" s="10" t="s">
        <v>310</v>
      </c>
      <c r="S29" s="10">
        <v>19980525</v>
      </c>
      <c r="T29" s="10">
        <v>2</v>
      </c>
      <c r="U29" s="10" t="s">
        <v>120</v>
      </c>
      <c r="V29" s="10" t="s">
        <v>121</v>
      </c>
      <c r="W29" s="10" t="s">
        <v>122</v>
      </c>
      <c r="X29" s="10">
        <v>8000000</v>
      </c>
      <c r="Y29" s="10" t="str">
        <f t="shared" si="0"/>
        <v>1998</v>
      </c>
      <c r="Z29" s="10" t="str">
        <f t="shared" si="1"/>
        <v>0525</v>
      </c>
      <c r="AA29" s="10" t="str">
        <f t="shared" si="2"/>
        <v>05</v>
      </c>
      <c r="AB29" s="10" t="str">
        <f t="shared" si="3"/>
        <v>25</v>
      </c>
      <c r="AC29" s="10" t="str">
        <f t="shared" si="4"/>
        <v>1998-05-25</v>
      </c>
      <c r="AD29" s="10" t="s">
        <v>123</v>
      </c>
      <c r="AE29" s="10" t="s">
        <v>153</v>
      </c>
      <c r="AF29" s="10" t="s">
        <v>126</v>
      </c>
      <c r="AG29" s="10" t="s">
        <v>123</v>
      </c>
      <c r="AH29" s="10" t="s">
        <v>124</v>
      </c>
      <c r="AI29" s="10" t="s">
        <v>188</v>
      </c>
      <c r="AJ29" s="10" t="s">
        <v>311</v>
      </c>
      <c r="AK29" s="10">
        <v>30</v>
      </c>
      <c r="AL29" s="10">
        <v>0</v>
      </c>
      <c r="AM29" s="10">
        <v>0</v>
      </c>
      <c r="AN29" s="10" t="s">
        <v>124</v>
      </c>
      <c r="AO29" s="33">
        <v>0</v>
      </c>
      <c r="AP29" s="10" t="s">
        <v>123</v>
      </c>
      <c r="AQ29" s="10" t="s">
        <v>123</v>
      </c>
      <c r="AR29" s="10" t="s">
        <v>123</v>
      </c>
      <c r="AS29" s="10">
        <v>0</v>
      </c>
      <c r="AT29" s="10">
        <v>0</v>
      </c>
      <c r="AU29" s="33">
        <v>0</v>
      </c>
      <c r="AV29" s="10">
        <v>0</v>
      </c>
      <c r="AW29" s="10">
        <v>0</v>
      </c>
      <c r="AX29" s="10">
        <v>0</v>
      </c>
      <c r="AY29" s="10">
        <v>-10838.62</v>
      </c>
      <c r="AZ29" s="10">
        <v>5532033.5199999996</v>
      </c>
      <c r="BA29" s="10">
        <v>20131107</v>
      </c>
      <c r="BB29" s="10">
        <v>0</v>
      </c>
      <c r="BC29" s="10">
        <v>0</v>
      </c>
      <c r="BD29" s="10">
        <v>0</v>
      </c>
      <c r="BE29" s="10">
        <v>0</v>
      </c>
      <c r="BF29" s="10">
        <v>20040622</v>
      </c>
      <c r="BG29" s="10">
        <v>23010.400000000001</v>
      </c>
      <c r="BH29" s="10" t="s">
        <v>123</v>
      </c>
      <c r="BI29" s="10" t="s">
        <v>123</v>
      </c>
      <c r="BJ29" s="10">
        <v>20110131</v>
      </c>
      <c r="BK29" s="10">
        <v>0</v>
      </c>
      <c r="BL29" s="10">
        <v>0</v>
      </c>
      <c r="BM29" s="10">
        <v>0</v>
      </c>
      <c r="BN29" s="10">
        <v>0</v>
      </c>
      <c r="BO29" s="10" t="s">
        <v>124</v>
      </c>
      <c r="BP29" s="10" t="s">
        <v>128</v>
      </c>
      <c r="BQ29" s="10" t="s">
        <v>128</v>
      </c>
      <c r="BR29" s="10" t="s">
        <v>124</v>
      </c>
      <c r="BS29" s="10" t="s">
        <v>123</v>
      </c>
      <c r="BT29" s="10" t="s">
        <v>154</v>
      </c>
      <c r="BU29" s="10" t="s">
        <v>123</v>
      </c>
      <c r="BV29" s="10" t="s">
        <v>123</v>
      </c>
      <c r="BW29" s="10" t="s">
        <v>123</v>
      </c>
      <c r="BX29" s="10" t="s">
        <v>123</v>
      </c>
      <c r="BY29" s="10">
        <v>0</v>
      </c>
      <c r="BZ29" s="10" t="s">
        <v>123</v>
      </c>
      <c r="CA29" s="10" t="s">
        <v>123</v>
      </c>
      <c r="CB29" s="10">
        <v>0</v>
      </c>
      <c r="CC29" s="10" t="s">
        <v>123</v>
      </c>
      <c r="CD29" s="10">
        <v>72000000</v>
      </c>
      <c r="CE29" s="10" t="s">
        <v>123</v>
      </c>
      <c r="CF29" s="10" t="s">
        <v>123</v>
      </c>
      <c r="CG29" s="10">
        <v>1703011</v>
      </c>
      <c r="CH29" s="10">
        <v>26</v>
      </c>
      <c r="CI29" s="10" t="s">
        <v>129</v>
      </c>
      <c r="CJ29" s="10">
        <v>2.78</v>
      </c>
      <c r="CK29" s="10" t="s">
        <v>123</v>
      </c>
      <c r="CL29" s="10" t="s">
        <v>123</v>
      </c>
      <c r="CM29" s="10" t="s">
        <v>123</v>
      </c>
      <c r="CN29" s="10" t="s">
        <v>123</v>
      </c>
      <c r="CO29" s="10">
        <v>0</v>
      </c>
      <c r="CP29" s="10">
        <v>0</v>
      </c>
      <c r="CQ29" s="10">
        <v>0</v>
      </c>
      <c r="CR29" s="10" t="s">
        <v>312</v>
      </c>
      <c r="CS29" s="10" t="s">
        <v>123</v>
      </c>
      <c r="CT29" s="10" t="s">
        <v>123</v>
      </c>
      <c r="CU29" s="10" t="s">
        <v>123</v>
      </c>
      <c r="CV29" s="10">
        <v>11</v>
      </c>
    </row>
    <row r="30" spans="1:100" x14ac:dyDescent="0.25">
      <c r="A30" s="27">
        <v>30</v>
      </c>
      <c r="B30" s="21" t="s">
        <v>313</v>
      </c>
      <c r="C30" s="21" t="s">
        <v>615</v>
      </c>
      <c r="D30" s="22" t="s">
        <v>800</v>
      </c>
      <c r="E30" s="32" t="s">
        <v>314</v>
      </c>
      <c r="F30" s="25" t="s">
        <v>315</v>
      </c>
      <c r="G30" s="31" t="s">
        <v>316</v>
      </c>
      <c r="H30" s="31" t="s">
        <v>667</v>
      </c>
      <c r="I30" s="31" t="s">
        <v>317</v>
      </c>
      <c r="J30" s="31">
        <v>85621</v>
      </c>
      <c r="K30" s="10" t="s">
        <v>134</v>
      </c>
      <c r="L30" s="23" t="s">
        <v>318</v>
      </c>
      <c r="M30" s="11" t="s">
        <v>123</v>
      </c>
      <c r="N30" s="10" t="s">
        <v>118</v>
      </c>
      <c r="O30" s="10" t="s">
        <v>123</v>
      </c>
      <c r="P30" s="10" t="s">
        <v>123</v>
      </c>
      <c r="Q30" s="10" t="s">
        <v>123</v>
      </c>
      <c r="R30" s="10" t="s">
        <v>123</v>
      </c>
      <c r="S30" s="10">
        <v>20011018</v>
      </c>
      <c r="T30" s="10">
        <v>2</v>
      </c>
      <c r="U30" s="10" t="s">
        <v>120</v>
      </c>
      <c r="V30" s="10" t="s">
        <v>121</v>
      </c>
      <c r="W30" s="10" t="s">
        <v>122</v>
      </c>
      <c r="X30" s="10">
        <v>8000000</v>
      </c>
      <c r="Y30" s="10" t="str">
        <f t="shared" si="0"/>
        <v>2001</v>
      </c>
      <c r="Z30" s="10" t="str">
        <f t="shared" si="1"/>
        <v>1018</v>
      </c>
      <c r="AA30" s="10" t="str">
        <f t="shared" si="2"/>
        <v>10</v>
      </c>
      <c r="AB30" s="10" t="str">
        <f t="shared" si="3"/>
        <v>18</v>
      </c>
      <c r="AC30" s="10" t="str">
        <f t="shared" si="4"/>
        <v>2001-10-18</v>
      </c>
      <c r="AD30" s="10" t="s">
        <v>123</v>
      </c>
      <c r="AE30" s="10" t="s">
        <v>153</v>
      </c>
      <c r="AF30" s="10" t="s">
        <v>126</v>
      </c>
      <c r="AG30" s="10" t="s">
        <v>123</v>
      </c>
      <c r="AH30" s="10" t="s">
        <v>124</v>
      </c>
      <c r="AI30" s="10" t="s">
        <v>135</v>
      </c>
      <c r="AJ30" s="10" t="s">
        <v>123</v>
      </c>
      <c r="AK30" s="10">
        <v>30</v>
      </c>
      <c r="AL30" s="10">
        <v>0</v>
      </c>
      <c r="AM30" s="10">
        <v>0</v>
      </c>
      <c r="AN30" s="10" t="s">
        <v>124</v>
      </c>
      <c r="AO30" s="33">
        <v>0</v>
      </c>
      <c r="AP30" s="10" t="s">
        <v>123</v>
      </c>
      <c r="AQ30" s="10" t="s">
        <v>123</v>
      </c>
      <c r="AR30" s="10" t="s">
        <v>123</v>
      </c>
      <c r="AS30" s="10">
        <v>0</v>
      </c>
      <c r="AT30" s="10">
        <v>0</v>
      </c>
      <c r="AU30" s="33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436963.86</v>
      </c>
      <c r="BA30" s="10">
        <v>20050520</v>
      </c>
      <c r="BB30" s="10">
        <v>425.94</v>
      </c>
      <c r="BC30" s="10">
        <v>0</v>
      </c>
      <c r="BD30" s="10">
        <v>0</v>
      </c>
      <c r="BE30" s="10">
        <v>0</v>
      </c>
      <c r="BF30" s="10">
        <v>20050607</v>
      </c>
      <c r="BG30" s="10">
        <v>293.39999999999998</v>
      </c>
      <c r="BH30" s="10" t="s">
        <v>123</v>
      </c>
      <c r="BI30" s="10" t="s">
        <v>123</v>
      </c>
      <c r="BJ30" s="10">
        <v>20110131</v>
      </c>
      <c r="BK30" s="10">
        <v>0</v>
      </c>
      <c r="BL30" s="10">
        <v>0</v>
      </c>
      <c r="BM30" s="10">
        <v>0</v>
      </c>
      <c r="BN30" s="10">
        <v>0</v>
      </c>
      <c r="BO30" s="10" t="s">
        <v>124</v>
      </c>
      <c r="BP30" s="10" t="s">
        <v>128</v>
      </c>
      <c r="BQ30" s="10" t="s">
        <v>128</v>
      </c>
      <c r="BR30" s="10" t="s">
        <v>124</v>
      </c>
      <c r="BS30" s="10" t="s">
        <v>123</v>
      </c>
      <c r="BT30" s="10" t="s">
        <v>319</v>
      </c>
      <c r="BU30" s="10" t="s">
        <v>123</v>
      </c>
      <c r="BV30" s="10" t="s">
        <v>123</v>
      </c>
      <c r="BW30" s="10" t="s">
        <v>123</v>
      </c>
      <c r="BX30" s="10" t="s">
        <v>123</v>
      </c>
      <c r="BY30" s="10">
        <v>0</v>
      </c>
      <c r="BZ30" s="10" t="s">
        <v>123</v>
      </c>
      <c r="CA30" s="10" t="s">
        <v>123</v>
      </c>
      <c r="CB30" s="10">
        <v>0</v>
      </c>
      <c r="CC30" s="10" t="s">
        <v>123</v>
      </c>
      <c r="CD30" s="10">
        <v>70000000</v>
      </c>
      <c r="CE30" s="10" t="s">
        <v>123</v>
      </c>
      <c r="CF30" s="10" t="s">
        <v>123</v>
      </c>
      <c r="CG30" s="10">
        <v>1703011</v>
      </c>
      <c r="CH30" s="10">
        <v>28</v>
      </c>
      <c r="CI30" s="10" t="s">
        <v>129</v>
      </c>
      <c r="CJ30" s="10" t="s">
        <v>123</v>
      </c>
      <c r="CK30" s="10" t="s">
        <v>123</v>
      </c>
      <c r="CL30" s="10" t="s">
        <v>123</v>
      </c>
      <c r="CM30" s="10" t="s">
        <v>123</v>
      </c>
      <c r="CN30" s="10" t="s">
        <v>123</v>
      </c>
      <c r="CO30" s="10">
        <v>0</v>
      </c>
      <c r="CP30" s="10">
        <v>0</v>
      </c>
      <c r="CQ30" s="10">
        <v>0</v>
      </c>
      <c r="CR30" s="10">
        <v>2</v>
      </c>
      <c r="CS30" s="10" t="s">
        <v>123</v>
      </c>
      <c r="CT30" s="10" t="s">
        <v>123</v>
      </c>
      <c r="CU30" s="10" t="s">
        <v>123</v>
      </c>
      <c r="CV30" s="10">
        <v>30</v>
      </c>
    </row>
    <row r="31" spans="1:100" x14ac:dyDescent="0.25">
      <c r="A31" s="27">
        <v>12</v>
      </c>
      <c r="B31" s="21" t="s">
        <v>320</v>
      </c>
      <c r="C31" s="21" t="s">
        <v>616</v>
      </c>
      <c r="D31" s="22" t="s">
        <v>324</v>
      </c>
      <c r="E31" s="32" t="s">
        <v>321</v>
      </c>
      <c r="F31" s="25" t="s">
        <v>322</v>
      </c>
      <c r="G31" s="31" t="s">
        <v>123</v>
      </c>
      <c r="H31" s="31" t="s">
        <v>123</v>
      </c>
      <c r="I31" s="31" t="s">
        <v>323</v>
      </c>
      <c r="J31" s="31" t="s">
        <v>324</v>
      </c>
      <c r="K31" s="10" t="s">
        <v>134</v>
      </c>
      <c r="L31" s="23" t="s">
        <v>325</v>
      </c>
      <c r="M31" s="11" t="s">
        <v>123</v>
      </c>
      <c r="N31" s="10" t="s">
        <v>118</v>
      </c>
      <c r="O31" s="10" t="s">
        <v>123</v>
      </c>
      <c r="P31" s="10" t="s">
        <v>123</v>
      </c>
      <c r="Q31" s="10" t="s">
        <v>123</v>
      </c>
      <c r="R31" s="10" t="s">
        <v>123</v>
      </c>
      <c r="S31" s="10">
        <v>20000309</v>
      </c>
      <c r="T31" s="10">
        <v>2</v>
      </c>
      <c r="U31" s="10" t="s">
        <v>250</v>
      </c>
      <c r="V31" s="10" t="s">
        <v>121</v>
      </c>
      <c r="W31" s="10" t="s">
        <v>122</v>
      </c>
      <c r="X31" s="10">
        <v>1000</v>
      </c>
      <c r="Y31" s="10" t="str">
        <f t="shared" si="0"/>
        <v>2000</v>
      </c>
      <c r="Z31" s="10" t="str">
        <f t="shared" si="1"/>
        <v>0309</v>
      </c>
      <c r="AA31" s="10" t="str">
        <f t="shared" si="2"/>
        <v>03</v>
      </c>
      <c r="AB31" s="10" t="str">
        <f t="shared" si="3"/>
        <v>09</v>
      </c>
      <c r="AC31" s="10" t="str">
        <f t="shared" si="4"/>
        <v>2000-03-09</v>
      </c>
      <c r="AD31" s="10" t="s">
        <v>123</v>
      </c>
      <c r="AE31" s="10" t="s">
        <v>153</v>
      </c>
      <c r="AF31" s="10" t="s">
        <v>126</v>
      </c>
      <c r="AG31" s="10" t="s">
        <v>123</v>
      </c>
      <c r="AH31" s="10" t="s">
        <v>124</v>
      </c>
      <c r="AI31" s="10" t="s">
        <v>135</v>
      </c>
      <c r="AJ31" s="10" t="s">
        <v>123</v>
      </c>
      <c r="AK31" s="10">
        <v>30</v>
      </c>
      <c r="AL31" s="10">
        <v>0</v>
      </c>
      <c r="AM31" s="10">
        <v>0</v>
      </c>
      <c r="AN31" s="10" t="s">
        <v>124</v>
      </c>
      <c r="AO31" s="10" t="s">
        <v>223</v>
      </c>
      <c r="AP31" s="10" t="s">
        <v>123</v>
      </c>
      <c r="AQ31" s="10" t="s">
        <v>123</v>
      </c>
      <c r="AR31" s="10" t="s">
        <v>123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20000310</v>
      </c>
      <c r="BB31" s="10">
        <v>592.74</v>
      </c>
      <c r="BC31" s="10">
        <v>0</v>
      </c>
      <c r="BD31" s="10">
        <v>0</v>
      </c>
      <c r="BE31" s="10">
        <v>0</v>
      </c>
      <c r="BF31" s="10">
        <v>20000621</v>
      </c>
      <c r="BG31" s="10">
        <v>592.74</v>
      </c>
      <c r="BH31" s="10" t="s">
        <v>123</v>
      </c>
      <c r="BI31" s="10" t="s">
        <v>123</v>
      </c>
      <c r="BJ31" s="10">
        <v>20110131</v>
      </c>
      <c r="BK31" s="10">
        <v>0</v>
      </c>
      <c r="BL31" s="10">
        <v>0</v>
      </c>
      <c r="BM31" s="10">
        <v>0</v>
      </c>
      <c r="BN31" s="10">
        <v>0</v>
      </c>
      <c r="BO31" s="10" t="s">
        <v>124</v>
      </c>
      <c r="BP31" s="10" t="s">
        <v>128</v>
      </c>
      <c r="BQ31" s="10" t="s">
        <v>128</v>
      </c>
      <c r="BR31" s="10" t="s">
        <v>124</v>
      </c>
      <c r="BS31" s="10" t="s">
        <v>123</v>
      </c>
      <c r="BT31" s="10" t="s">
        <v>154</v>
      </c>
      <c r="BU31" s="10" t="s">
        <v>123</v>
      </c>
      <c r="BV31" s="10" t="s">
        <v>123</v>
      </c>
      <c r="BW31" s="10" t="s">
        <v>123</v>
      </c>
      <c r="BX31" s="10" t="s">
        <v>123</v>
      </c>
      <c r="BY31" s="10">
        <v>0</v>
      </c>
      <c r="BZ31" s="10" t="s">
        <v>123</v>
      </c>
      <c r="CA31" s="10" t="s">
        <v>123</v>
      </c>
      <c r="CB31" s="10">
        <v>0</v>
      </c>
      <c r="CC31" s="10" t="s">
        <v>123</v>
      </c>
      <c r="CD31" s="10">
        <v>0</v>
      </c>
      <c r="CE31" s="10" t="s">
        <v>123</v>
      </c>
      <c r="CF31" s="10" t="s">
        <v>123</v>
      </c>
      <c r="CG31" s="10">
        <v>1703011</v>
      </c>
      <c r="CH31" s="10">
        <v>20</v>
      </c>
      <c r="CI31" s="10" t="s">
        <v>129</v>
      </c>
      <c r="CJ31" s="10" t="s">
        <v>123</v>
      </c>
      <c r="CK31" s="10" t="s">
        <v>123</v>
      </c>
      <c r="CL31" s="10" t="s">
        <v>123</v>
      </c>
      <c r="CM31" s="10" t="s">
        <v>123</v>
      </c>
      <c r="CN31" s="10" t="s">
        <v>123</v>
      </c>
      <c r="CO31" s="10">
        <v>0</v>
      </c>
      <c r="CP31" s="10">
        <v>0</v>
      </c>
      <c r="CQ31" s="10">
        <v>0</v>
      </c>
      <c r="CR31" s="10" t="s">
        <v>123</v>
      </c>
      <c r="CS31" s="10" t="s">
        <v>123</v>
      </c>
      <c r="CT31" s="10" t="s">
        <v>123</v>
      </c>
      <c r="CU31" s="10" t="s">
        <v>123</v>
      </c>
      <c r="CV31" s="10">
        <v>12</v>
      </c>
    </row>
    <row r="32" spans="1:100" x14ac:dyDescent="0.25">
      <c r="A32" s="27">
        <v>13</v>
      </c>
      <c r="B32" s="21" t="s">
        <v>326</v>
      </c>
      <c r="C32" s="21" t="s">
        <v>617</v>
      </c>
      <c r="D32" s="22" t="s">
        <v>329</v>
      </c>
      <c r="E32" s="32" t="s">
        <v>327</v>
      </c>
      <c r="F32" s="25" t="s">
        <v>328</v>
      </c>
      <c r="G32" s="31" t="s">
        <v>286</v>
      </c>
      <c r="H32" s="31" t="s">
        <v>664</v>
      </c>
      <c r="I32" s="31" t="s">
        <v>255</v>
      </c>
      <c r="J32" s="31" t="s">
        <v>329</v>
      </c>
      <c r="K32" s="10" t="s">
        <v>134</v>
      </c>
      <c r="L32" s="23" t="s">
        <v>123</v>
      </c>
      <c r="M32" s="11" t="s">
        <v>123</v>
      </c>
      <c r="N32" s="10" t="s">
        <v>118</v>
      </c>
      <c r="O32" s="10" t="s">
        <v>123</v>
      </c>
      <c r="P32" s="10" t="s">
        <v>123</v>
      </c>
      <c r="Q32" s="10" t="s">
        <v>123</v>
      </c>
      <c r="R32" s="10" t="s">
        <v>123</v>
      </c>
      <c r="S32" s="10">
        <v>19990225</v>
      </c>
      <c r="T32" s="10">
        <v>2</v>
      </c>
      <c r="U32" s="10" t="s">
        <v>250</v>
      </c>
      <c r="V32" s="10" t="s">
        <v>121</v>
      </c>
      <c r="W32" s="10" t="s">
        <v>122</v>
      </c>
      <c r="X32" s="10">
        <v>8000000</v>
      </c>
      <c r="Y32" s="10" t="str">
        <f t="shared" si="0"/>
        <v>1999</v>
      </c>
      <c r="Z32" s="10" t="str">
        <f t="shared" si="1"/>
        <v>0225</v>
      </c>
      <c r="AA32" s="10" t="str">
        <f t="shared" si="2"/>
        <v>02</v>
      </c>
      <c r="AB32" s="10" t="str">
        <f t="shared" si="3"/>
        <v>25</v>
      </c>
      <c r="AC32" s="10" t="str">
        <f t="shared" si="4"/>
        <v>1999-02-25</v>
      </c>
      <c r="AD32" s="10" t="s">
        <v>123</v>
      </c>
      <c r="AE32" s="10" t="s">
        <v>153</v>
      </c>
      <c r="AF32" s="10" t="s">
        <v>126</v>
      </c>
      <c r="AG32" s="10" t="s">
        <v>123</v>
      </c>
      <c r="AH32" s="10" t="s">
        <v>124</v>
      </c>
      <c r="AI32" s="10" t="s">
        <v>135</v>
      </c>
      <c r="AJ32" s="10" t="s">
        <v>123</v>
      </c>
      <c r="AK32" s="10">
        <v>30</v>
      </c>
      <c r="AL32" s="10">
        <v>0</v>
      </c>
      <c r="AM32" s="10">
        <v>0</v>
      </c>
      <c r="AN32" s="10" t="s">
        <v>124</v>
      </c>
      <c r="AO32" s="10" t="s">
        <v>123</v>
      </c>
      <c r="AP32" s="10" t="s">
        <v>123</v>
      </c>
      <c r="AQ32" s="10" t="s">
        <v>123</v>
      </c>
      <c r="AR32" s="10" t="s">
        <v>123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25733519.57</v>
      </c>
      <c r="AZ32" s="10">
        <v>25733519.57</v>
      </c>
      <c r="BA32" s="10">
        <v>20190124</v>
      </c>
      <c r="BB32" s="10">
        <v>280.8</v>
      </c>
      <c r="BC32" s="10">
        <v>0</v>
      </c>
      <c r="BD32" s="10">
        <v>0</v>
      </c>
      <c r="BE32" s="10">
        <v>0</v>
      </c>
      <c r="BF32" s="10">
        <v>20110701</v>
      </c>
      <c r="BG32" s="10">
        <v>318.38</v>
      </c>
      <c r="BH32" s="10" t="s">
        <v>123</v>
      </c>
      <c r="BI32" s="10" t="s">
        <v>123</v>
      </c>
      <c r="BJ32" s="10">
        <v>20110131</v>
      </c>
      <c r="BK32" s="10">
        <v>0</v>
      </c>
      <c r="BL32" s="10">
        <v>318.38</v>
      </c>
      <c r="BM32" s="10">
        <v>0</v>
      </c>
      <c r="BN32" s="10">
        <v>62.3</v>
      </c>
      <c r="BO32" s="10" t="s">
        <v>124</v>
      </c>
      <c r="BP32" s="10" t="s">
        <v>128</v>
      </c>
      <c r="BQ32" s="10" t="s">
        <v>128</v>
      </c>
      <c r="BR32" s="10" t="s">
        <v>124</v>
      </c>
      <c r="BS32" s="10" t="s">
        <v>123</v>
      </c>
      <c r="BT32" s="10" t="s">
        <v>154</v>
      </c>
      <c r="BU32" s="10" t="s">
        <v>123</v>
      </c>
      <c r="BV32" s="10" t="s">
        <v>157</v>
      </c>
      <c r="BW32" s="10" t="s">
        <v>123</v>
      </c>
      <c r="BX32" s="10" t="s">
        <v>123</v>
      </c>
      <c r="BY32" s="10">
        <v>0</v>
      </c>
      <c r="BZ32" s="10" t="s">
        <v>123</v>
      </c>
      <c r="CA32" s="10" t="s">
        <v>123</v>
      </c>
      <c r="CB32" s="10">
        <v>0</v>
      </c>
      <c r="CC32" s="10" t="s">
        <v>123</v>
      </c>
      <c r="CD32" s="10">
        <v>70000000</v>
      </c>
      <c r="CE32" s="10" t="s">
        <v>123</v>
      </c>
      <c r="CF32" s="10" t="s">
        <v>123</v>
      </c>
      <c r="CG32" s="10">
        <v>1703011</v>
      </c>
      <c r="CH32" s="10">
        <v>26</v>
      </c>
      <c r="CI32" s="10" t="s">
        <v>129</v>
      </c>
      <c r="CJ32" s="10" t="s">
        <v>123</v>
      </c>
      <c r="CK32" s="10" t="s">
        <v>123</v>
      </c>
      <c r="CL32" s="10" t="s">
        <v>123</v>
      </c>
      <c r="CM32" s="10" t="s">
        <v>123</v>
      </c>
      <c r="CN32" s="10" t="s">
        <v>123</v>
      </c>
      <c r="CO32" s="10">
        <v>0</v>
      </c>
      <c r="CP32" s="10">
        <v>0</v>
      </c>
      <c r="CQ32" s="10">
        <v>380.68</v>
      </c>
      <c r="CR32" s="10" t="s">
        <v>123</v>
      </c>
      <c r="CS32" s="10" t="s">
        <v>123</v>
      </c>
      <c r="CT32" s="10" t="s">
        <v>123</v>
      </c>
      <c r="CU32" s="10" t="s">
        <v>123</v>
      </c>
      <c r="CV32" s="10">
        <v>13</v>
      </c>
    </row>
    <row r="33" spans="1:100" x14ac:dyDescent="0.25">
      <c r="A33" s="27">
        <v>14</v>
      </c>
      <c r="B33" s="21" t="s">
        <v>330</v>
      </c>
      <c r="C33" s="21" t="s">
        <v>618</v>
      </c>
      <c r="D33" s="22" t="s">
        <v>801</v>
      </c>
      <c r="E33" s="32" t="s">
        <v>331</v>
      </c>
      <c r="F33" s="25" t="s">
        <v>332</v>
      </c>
      <c r="G33" s="31" t="s">
        <v>333</v>
      </c>
      <c r="H33" s="31" t="s">
        <v>668</v>
      </c>
      <c r="I33" s="31" t="s">
        <v>114</v>
      </c>
      <c r="J33" s="31">
        <v>48101</v>
      </c>
      <c r="K33" s="10" t="s">
        <v>134</v>
      </c>
      <c r="L33" s="23" t="s">
        <v>334</v>
      </c>
      <c r="M33" s="11" t="s">
        <v>123</v>
      </c>
      <c r="N33" s="10" t="s">
        <v>335</v>
      </c>
      <c r="O33" s="10" t="s">
        <v>123</v>
      </c>
      <c r="P33" s="10" t="s">
        <v>123</v>
      </c>
      <c r="Q33" s="10" t="s">
        <v>123</v>
      </c>
      <c r="R33" s="10" t="s">
        <v>336</v>
      </c>
      <c r="S33" s="10">
        <v>20010822</v>
      </c>
      <c r="T33" s="10">
        <v>2</v>
      </c>
      <c r="U33" s="10" t="s">
        <v>250</v>
      </c>
      <c r="V33" s="10" t="s">
        <v>121</v>
      </c>
      <c r="W33" s="10" t="s">
        <v>122</v>
      </c>
      <c r="X33" s="10" t="s">
        <v>123</v>
      </c>
      <c r="Y33" s="10" t="str">
        <f t="shared" si="0"/>
        <v>2001</v>
      </c>
      <c r="Z33" s="10" t="str">
        <f t="shared" si="1"/>
        <v>0822</v>
      </c>
      <c r="AA33" s="10" t="str">
        <f t="shared" si="2"/>
        <v>08</v>
      </c>
      <c r="AB33" s="10" t="str">
        <f t="shared" si="3"/>
        <v>22</v>
      </c>
      <c r="AC33" s="10" t="str">
        <f t="shared" si="4"/>
        <v>2001-08-22</v>
      </c>
      <c r="AD33" s="10" t="s">
        <v>123</v>
      </c>
      <c r="AE33" s="10" t="s">
        <v>123</v>
      </c>
      <c r="AF33" s="10" t="s">
        <v>126</v>
      </c>
      <c r="AG33" s="10" t="s">
        <v>123</v>
      </c>
      <c r="AH33" s="10" t="s">
        <v>124</v>
      </c>
      <c r="AI33" s="10" t="s">
        <v>188</v>
      </c>
      <c r="AJ33" s="10" t="s">
        <v>123</v>
      </c>
      <c r="AK33" s="10">
        <v>30</v>
      </c>
      <c r="AL33" s="10">
        <v>0</v>
      </c>
      <c r="AM33" s="10">
        <v>0</v>
      </c>
      <c r="AN33" s="10" t="s">
        <v>124</v>
      </c>
      <c r="AO33" s="33">
        <v>0</v>
      </c>
      <c r="AP33" s="10" t="s">
        <v>123</v>
      </c>
      <c r="AQ33" s="10" t="s">
        <v>123</v>
      </c>
      <c r="AR33" s="10" t="s">
        <v>123</v>
      </c>
      <c r="AS33" s="10">
        <v>0</v>
      </c>
      <c r="AT33" s="10">
        <v>0</v>
      </c>
      <c r="AU33" s="33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76800.990000000005</v>
      </c>
      <c r="BA33" s="10">
        <v>20020410</v>
      </c>
      <c r="BB33" s="10">
        <v>0</v>
      </c>
      <c r="BC33" s="10">
        <v>0</v>
      </c>
      <c r="BD33" s="10">
        <v>0</v>
      </c>
      <c r="BE33" s="10">
        <v>0</v>
      </c>
      <c r="BF33" s="10">
        <v>20011221</v>
      </c>
      <c r="BG33" s="10">
        <v>66855.399999999994</v>
      </c>
      <c r="BH33" s="10" t="s">
        <v>123</v>
      </c>
      <c r="BI33" s="10" t="s">
        <v>123</v>
      </c>
      <c r="BJ33" s="10">
        <v>20110131</v>
      </c>
      <c r="BK33" s="10">
        <v>0</v>
      </c>
      <c r="BL33" s="10">
        <v>0</v>
      </c>
      <c r="BM33" s="10">
        <v>0</v>
      </c>
      <c r="BN33" s="10">
        <v>0</v>
      </c>
      <c r="BO33" s="10" t="s">
        <v>124</v>
      </c>
      <c r="BP33" s="10" t="s">
        <v>128</v>
      </c>
      <c r="BQ33" s="10" t="s">
        <v>128</v>
      </c>
      <c r="BR33" s="10" t="s">
        <v>124</v>
      </c>
      <c r="BS33" s="10" t="s">
        <v>123</v>
      </c>
      <c r="BT33" s="10" t="s">
        <v>337</v>
      </c>
      <c r="BU33" s="10" t="s">
        <v>123</v>
      </c>
      <c r="BV33" s="10" t="s">
        <v>123</v>
      </c>
      <c r="BW33" s="10" t="s">
        <v>123</v>
      </c>
      <c r="BX33" s="10" t="s">
        <v>123</v>
      </c>
      <c r="BY33" s="10">
        <v>0</v>
      </c>
      <c r="BZ33" s="10" t="s">
        <v>123</v>
      </c>
      <c r="CA33" s="10" t="s">
        <v>123</v>
      </c>
      <c r="CB33" s="10">
        <v>0</v>
      </c>
      <c r="CC33" s="10" t="s">
        <v>123</v>
      </c>
      <c r="CD33" s="10">
        <v>0</v>
      </c>
      <c r="CE33" s="10" t="s">
        <v>123</v>
      </c>
      <c r="CF33" s="10" t="s">
        <v>123</v>
      </c>
      <c r="CG33" s="10" t="s">
        <v>123</v>
      </c>
      <c r="CH33" s="10">
        <v>28</v>
      </c>
      <c r="CI33" s="10" t="s">
        <v>123</v>
      </c>
      <c r="CJ33" s="10" t="s">
        <v>123</v>
      </c>
      <c r="CK33" s="10" t="s">
        <v>123</v>
      </c>
      <c r="CL33" s="10" t="s">
        <v>123</v>
      </c>
      <c r="CM33" s="10" t="s">
        <v>123</v>
      </c>
      <c r="CN33" s="10" t="s">
        <v>123</v>
      </c>
      <c r="CO33" s="10">
        <v>0</v>
      </c>
      <c r="CP33" s="10">
        <v>0</v>
      </c>
      <c r="CQ33" s="10">
        <v>0</v>
      </c>
      <c r="CR33" s="10" t="s">
        <v>338</v>
      </c>
      <c r="CS33" s="10" t="s">
        <v>123</v>
      </c>
      <c r="CT33" s="10" t="s">
        <v>123</v>
      </c>
      <c r="CU33" s="10" t="s">
        <v>123</v>
      </c>
      <c r="CV33" s="10">
        <v>14</v>
      </c>
    </row>
    <row r="34" spans="1:100" x14ac:dyDescent="0.25">
      <c r="A34" s="27">
        <v>15</v>
      </c>
      <c r="B34" s="21" t="s">
        <v>339</v>
      </c>
      <c r="C34" s="21" t="s">
        <v>619</v>
      </c>
      <c r="D34" s="22" t="s">
        <v>802</v>
      </c>
      <c r="E34" s="32" t="s">
        <v>340</v>
      </c>
      <c r="F34" s="25" t="s">
        <v>123</v>
      </c>
      <c r="G34" s="31" t="s">
        <v>341</v>
      </c>
      <c r="H34" s="31" t="s">
        <v>669</v>
      </c>
      <c r="I34" s="31" t="s">
        <v>114</v>
      </c>
      <c r="J34" s="31">
        <v>48092</v>
      </c>
      <c r="K34" s="10" t="s">
        <v>134</v>
      </c>
      <c r="L34" s="23" t="s">
        <v>123</v>
      </c>
      <c r="M34" s="11" t="s">
        <v>123</v>
      </c>
      <c r="N34" s="10" t="s">
        <v>342</v>
      </c>
      <c r="O34" s="10" t="s">
        <v>343</v>
      </c>
      <c r="P34" s="10" t="s">
        <v>123</v>
      </c>
      <c r="Q34" s="10" t="s">
        <v>123</v>
      </c>
      <c r="R34" s="10" t="s">
        <v>123</v>
      </c>
      <c r="S34" s="10">
        <v>19991119</v>
      </c>
      <c r="T34" s="10">
        <v>2</v>
      </c>
      <c r="U34" s="10" t="s">
        <v>250</v>
      </c>
      <c r="V34" s="10" t="s">
        <v>121</v>
      </c>
      <c r="W34" s="10" t="s">
        <v>122</v>
      </c>
      <c r="X34" s="10">
        <v>1000</v>
      </c>
      <c r="Y34" s="10" t="str">
        <f t="shared" si="0"/>
        <v>1999</v>
      </c>
      <c r="Z34" s="10" t="str">
        <f t="shared" si="1"/>
        <v>1119</v>
      </c>
      <c r="AA34" s="10" t="str">
        <f t="shared" si="2"/>
        <v>11</v>
      </c>
      <c r="AB34" s="10" t="str">
        <f t="shared" si="3"/>
        <v>19</v>
      </c>
      <c r="AC34" s="10" t="str">
        <f t="shared" si="4"/>
        <v>1999-11-19</v>
      </c>
      <c r="AD34" s="10" t="s">
        <v>123</v>
      </c>
      <c r="AE34" s="10" t="s">
        <v>125</v>
      </c>
      <c r="AF34" s="10" t="s">
        <v>126</v>
      </c>
      <c r="AG34" s="10" t="s">
        <v>123</v>
      </c>
      <c r="AH34" s="10" t="s">
        <v>124</v>
      </c>
      <c r="AI34" s="10" t="s">
        <v>188</v>
      </c>
      <c r="AJ34" s="10" t="s">
        <v>123</v>
      </c>
      <c r="AK34" s="10">
        <v>30</v>
      </c>
      <c r="AL34" s="10">
        <v>0</v>
      </c>
      <c r="AM34" s="10">
        <v>0</v>
      </c>
      <c r="AN34" s="10" t="s">
        <v>124</v>
      </c>
      <c r="AO34" s="10" t="s">
        <v>223</v>
      </c>
      <c r="AP34" s="10" t="s">
        <v>123</v>
      </c>
      <c r="AQ34" s="10" t="s">
        <v>123</v>
      </c>
      <c r="AR34" s="10" t="s">
        <v>123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521.70000000000005</v>
      </c>
      <c r="AZ34" s="10">
        <v>6600</v>
      </c>
      <c r="BA34" s="10">
        <v>20180207</v>
      </c>
      <c r="BB34" s="10">
        <v>521.70000000000005</v>
      </c>
      <c r="BC34" s="10">
        <v>0</v>
      </c>
      <c r="BD34" s="10">
        <v>0</v>
      </c>
      <c r="BE34" s="10">
        <v>0</v>
      </c>
      <c r="BF34" s="10">
        <v>20021025</v>
      </c>
      <c r="BG34" s="10">
        <v>6600</v>
      </c>
      <c r="BH34" s="10" t="s">
        <v>123</v>
      </c>
      <c r="BI34" s="10" t="s">
        <v>123</v>
      </c>
      <c r="BJ34" s="10">
        <v>20110131</v>
      </c>
      <c r="BK34" s="10">
        <v>0</v>
      </c>
      <c r="BL34" s="10">
        <v>0</v>
      </c>
      <c r="BM34" s="10">
        <v>0</v>
      </c>
      <c r="BN34" s="10">
        <v>0</v>
      </c>
      <c r="BO34" s="10" t="s">
        <v>124</v>
      </c>
      <c r="BP34" s="10" t="s">
        <v>128</v>
      </c>
      <c r="BQ34" s="10" t="s">
        <v>128</v>
      </c>
      <c r="BR34" s="10" t="s">
        <v>124</v>
      </c>
      <c r="BS34" s="10" t="s">
        <v>123</v>
      </c>
      <c r="BT34" s="10" t="s">
        <v>154</v>
      </c>
      <c r="BU34" s="10" t="s">
        <v>123</v>
      </c>
      <c r="BV34" s="10" t="s">
        <v>123</v>
      </c>
      <c r="BW34" s="10" t="s">
        <v>123</v>
      </c>
      <c r="BX34" s="10" t="s">
        <v>123</v>
      </c>
      <c r="BY34" s="10">
        <v>0</v>
      </c>
      <c r="BZ34" s="10" t="s">
        <v>123</v>
      </c>
      <c r="CA34" s="10" t="s">
        <v>123</v>
      </c>
      <c r="CB34" s="10">
        <v>0</v>
      </c>
      <c r="CC34" s="10" t="s">
        <v>123</v>
      </c>
      <c r="CD34" s="10">
        <v>0</v>
      </c>
      <c r="CE34" s="10" t="s">
        <v>123</v>
      </c>
      <c r="CF34" s="10" t="s">
        <v>123</v>
      </c>
      <c r="CG34" s="10">
        <v>1703011</v>
      </c>
      <c r="CH34" s="10">
        <v>20</v>
      </c>
      <c r="CI34" s="10" t="s">
        <v>129</v>
      </c>
      <c r="CJ34" s="10" t="s">
        <v>123</v>
      </c>
      <c r="CK34" s="10" t="s">
        <v>123</v>
      </c>
      <c r="CL34" s="10" t="s">
        <v>123</v>
      </c>
      <c r="CM34" s="10" t="s">
        <v>123</v>
      </c>
      <c r="CN34" s="10" t="s">
        <v>123</v>
      </c>
      <c r="CO34" s="10">
        <v>0</v>
      </c>
      <c r="CP34" s="10">
        <v>0</v>
      </c>
      <c r="CQ34" s="10">
        <v>0</v>
      </c>
      <c r="CR34" s="10" t="s">
        <v>123</v>
      </c>
      <c r="CS34" s="10" t="s">
        <v>123</v>
      </c>
      <c r="CT34" s="10" t="s">
        <v>123</v>
      </c>
      <c r="CU34" s="10" t="s">
        <v>123</v>
      </c>
      <c r="CV34" s="10">
        <v>15</v>
      </c>
    </row>
    <row r="35" spans="1:100" x14ac:dyDescent="0.25">
      <c r="A35" s="27">
        <v>16</v>
      </c>
      <c r="B35" s="21" t="s">
        <v>344</v>
      </c>
      <c r="C35" s="21" t="s">
        <v>620</v>
      </c>
      <c r="D35" s="22" t="s">
        <v>803</v>
      </c>
      <c r="E35" s="32" t="s">
        <v>345</v>
      </c>
      <c r="F35" s="25" t="s">
        <v>123</v>
      </c>
      <c r="G35" s="31" t="s">
        <v>346</v>
      </c>
      <c r="H35" s="31" t="s">
        <v>670</v>
      </c>
      <c r="I35" s="31" t="s">
        <v>114</v>
      </c>
      <c r="J35" s="31">
        <v>48126</v>
      </c>
      <c r="K35" s="10" t="s">
        <v>134</v>
      </c>
      <c r="L35" s="23" t="s">
        <v>347</v>
      </c>
      <c r="M35" s="11" t="s">
        <v>123</v>
      </c>
      <c r="N35" s="10" t="s">
        <v>348</v>
      </c>
      <c r="O35" s="10" t="s">
        <v>123</v>
      </c>
      <c r="P35" s="10" t="s">
        <v>123</v>
      </c>
      <c r="Q35" s="10" t="s">
        <v>123</v>
      </c>
      <c r="R35" s="10" t="s">
        <v>349</v>
      </c>
      <c r="S35" s="10">
        <v>19990430</v>
      </c>
      <c r="T35" s="10">
        <v>2</v>
      </c>
      <c r="U35" s="10" t="s">
        <v>250</v>
      </c>
      <c r="V35" s="10" t="s">
        <v>121</v>
      </c>
      <c r="W35" s="10" t="s">
        <v>122</v>
      </c>
      <c r="X35" s="10">
        <v>100000</v>
      </c>
      <c r="Y35" s="10" t="str">
        <f t="shared" si="0"/>
        <v>1999</v>
      </c>
      <c r="Z35" s="10" t="str">
        <f t="shared" si="1"/>
        <v>0430</v>
      </c>
      <c r="AA35" s="10" t="str">
        <f t="shared" si="2"/>
        <v>04</v>
      </c>
      <c r="AB35" s="10" t="str">
        <f t="shared" si="3"/>
        <v>30</v>
      </c>
      <c r="AC35" s="10" t="str">
        <f t="shared" si="4"/>
        <v>1999-04-30</v>
      </c>
      <c r="AD35" s="10" t="s">
        <v>123</v>
      </c>
      <c r="AE35" s="10" t="s">
        <v>125</v>
      </c>
      <c r="AF35" s="10" t="s">
        <v>126</v>
      </c>
      <c r="AG35" s="10" t="s">
        <v>123</v>
      </c>
      <c r="AH35" s="10" t="s">
        <v>124</v>
      </c>
      <c r="AI35" s="10" t="s">
        <v>188</v>
      </c>
      <c r="AJ35" s="10" t="s">
        <v>123</v>
      </c>
      <c r="AK35" s="10">
        <v>30</v>
      </c>
      <c r="AL35" s="10">
        <v>0</v>
      </c>
      <c r="AM35" s="10">
        <v>0</v>
      </c>
      <c r="AN35" s="10" t="s">
        <v>124</v>
      </c>
      <c r="AO35" s="10" t="s">
        <v>223</v>
      </c>
      <c r="AP35" s="10" t="s">
        <v>123</v>
      </c>
      <c r="AQ35" s="10" t="s">
        <v>123</v>
      </c>
      <c r="AR35" s="10" t="s">
        <v>123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119.93</v>
      </c>
      <c r="BA35" s="10">
        <v>20001122</v>
      </c>
      <c r="BB35" s="10">
        <v>-602.58000000000004</v>
      </c>
      <c r="BC35" s="10">
        <v>0</v>
      </c>
      <c r="BD35" s="10">
        <v>0</v>
      </c>
      <c r="BE35" s="10">
        <v>0</v>
      </c>
      <c r="BF35" s="10">
        <v>20001219</v>
      </c>
      <c r="BG35" s="10">
        <v>119.93</v>
      </c>
      <c r="BH35" s="10" t="s">
        <v>123</v>
      </c>
      <c r="BI35" s="10" t="s">
        <v>123</v>
      </c>
      <c r="BJ35" s="10">
        <v>20110131</v>
      </c>
      <c r="BK35" s="10">
        <v>0</v>
      </c>
      <c r="BL35" s="10">
        <v>0</v>
      </c>
      <c r="BM35" s="10">
        <v>0</v>
      </c>
      <c r="BN35" s="10">
        <v>0</v>
      </c>
      <c r="BO35" s="10" t="s">
        <v>124</v>
      </c>
      <c r="BP35" s="10" t="s">
        <v>128</v>
      </c>
      <c r="BQ35" s="10" t="s">
        <v>128</v>
      </c>
      <c r="BR35" s="10" t="s">
        <v>124</v>
      </c>
      <c r="BS35" s="10" t="s">
        <v>123</v>
      </c>
      <c r="BT35" s="10" t="s">
        <v>173</v>
      </c>
      <c r="BU35" s="10" t="s">
        <v>123</v>
      </c>
      <c r="BV35" s="10" t="s">
        <v>123</v>
      </c>
      <c r="BW35" s="10" t="s">
        <v>123</v>
      </c>
      <c r="BX35" s="10" t="s">
        <v>123</v>
      </c>
      <c r="BY35" s="10">
        <v>0</v>
      </c>
      <c r="BZ35" s="10" t="s">
        <v>123</v>
      </c>
      <c r="CA35" s="10" t="s">
        <v>123</v>
      </c>
      <c r="CB35" s="10">
        <v>0</v>
      </c>
      <c r="CC35" s="10" t="s">
        <v>123</v>
      </c>
      <c r="CD35" s="10">
        <v>0</v>
      </c>
      <c r="CE35" s="10" t="s">
        <v>123</v>
      </c>
      <c r="CF35" s="10" t="s">
        <v>123</v>
      </c>
      <c r="CG35" s="10" t="s">
        <v>350</v>
      </c>
      <c r="CH35" s="10">
        <v>20</v>
      </c>
      <c r="CI35" s="10" t="s">
        <v>129</v>
      </c>
      <c r="CJ35" s="10" t="s">
        <v>123</v>
      </c>
      <c r="CK35" s="10" t="s">
        <v>123</v>
      </c>
      <c r="CL35" s="10" t="s">
        <v>123</v>
      </c>
      <c r="CM35" s="10" t="s">
        <v>123</v>
      </c>
      <c r="CN35" s="10" t="s">
        <v>123</v>
      </c>
      <c r="CO35" s="10">
        <v>0</v>
      </c>
      <c r="CP35" s="10">
        <v>0</v>
      </c>
      <c r="CQ35" s="10">
        <v>0</v>
      </c>
      <c r="CR35" s="10" t="s">
        <v>123</v>
      </c>
      <c r="CS35" s="10" t="s">
        <v>123</v>
      </c>
      <c r="CT35" s="10" t="s">
        <v>123</v>
      </c>
      <c r="CU35" s="10" t="s">
        <v>123</v>
      </c>
      <c r="CV35" s="10">
        <v>16</v>
      </c>
    </row>
    <row r="36" spans="1:100" x14ac:dyDescent="0.25">
      <c r="A36" s="27">
        <v>17</v>
      </c>
      <c r="B36" s="21" t="s">
        <v>351</v>
      </c>
      <c r="C36" s="21" t="s">
        <v>621</v>
      </c>
      <c r="D36" s="22" t="s">
        <v>804</v>
      </c>
      <c r="E36" s="32" t="s">
        <v>352</v>
      </c>
      <c r="F36" s="25" t="s">
        <v>353</v>
      </c>
      <c r="G36" s="31" t="s">
        <v>354</v>
      </c>
      <c r="H36" s="31" t="s">
        <v>671</v>
      </c>
      <c r="I36" s="31" t="s">
        <v>255</v>
      </c>
      <c r="J36" s="31">
        <v>78852</v>
      </c>
      <c r="K36" s="10" t="s">
        <v>134</v>
      </c>
      <c r="L36" s="23" t="s">
        <v>355</v>
      </c>
      <c r="M36" s="11" t="s">
        <v>123</v>
      </c>
      <c r="N36" s="10" t="s">
        <v>356</v>
      </c>
      <c r="O36" s="10" t="s">
        <v>123</v>
      </c>
      <c r="P36" s="10" t="s">
        <v>123</v>
      </c>
      <c r="Q36" s="10" t="s">
        <v>123</v>
      </c>
      <c r="R36" s="10" t="s">
        <v>123</v>
      </c>
      <c r="S36" s="10">
        <v>19991112</v>
      </c>
      <c r="T36" s="10">
        <v>2</v>
      </c>
      <c r="U36" s="10" t="s">
        <v>120</v>
      </c>
      <c r="V36" s="10" t="s">
        <v>121</v>
      </c>
      <c r="W36" s="10" t="s">
        <v>122</v>
      </c>
      <c r="X36" s="10">
        <v>3000000</v>
      </c>
      <c r="Y36" s="10" t="str">
        <f t="shared" si="0"/>
        <v>1999</v>
      </c>
      <c r="Z36" s="10" t="str">
        <f t="shared" si="1"/>
        <v>1112</v>
      </c>
      <c r="AA36" s="10" t="str">
        <f t="shared" si="2"/>
        <v>11</v>
      </c>
      <c r="AB36" s="10" t="str">
        <f t="shared" si="3"/>
        <v>12</v>
      </c>
      <c r="AC36" s="10" t="str">
        <f t="shared" si="4"/>
        <v>1999-11-12</v>
      </c>
      <c r="AD36" s="10" t="s">
        <v>123</v>
      </c>
      <c r="AE36" s="10" t="s">
        <v>153</v>
      </c>
      <c r="AF36" s="10" t="s">
        <v>126</v>
      </c>
      <c r="AG36" s="10" t="s">
        <v>123</v>
      </c>
      <c r="AH36" s="10" t="s">
        <v>124</v>
      </c>
      <c r="AI36" s="10" t="s">
        <v>188</v>
      </c>
      <c r="AJ36" s="10" t="s">
        <v>123</v>
      </c>
      <c r="AK36" s="10">
        <v>5</v>
      </c>
      <c r="AL36" s="10">
        <v>0</v>
      </c>
      <c r="AM36" s="10">
        <v>0</v>
      </c>
      <c r="AN36" s="10" t="s">
        <v>124</v>
      </c>
      <c r="AO36" s="33">
        <v>0</v>
      </c>
      <c r="AP36" s="10" t="s">
        <v>123</v>
      </c>
      <c r="AQ36" s="10" t="s">
        <v>123</v>
      </c>
      <c r="AR36" s="10" t="s">
        <v>123</v>
      </c>
      <c r="AS36" s="10">
        <v>0</v>
      </c>
      <c r="AT36" s="10">
        <v>0</v>
      </c>
      <c r="AU36" s="33">
        <v>0</v>
      </c>
      <c r="AV36" s="10">
        <v>0</v>
      </c>
      <c r="AW36" s="10">
        <v>0</v>
      </c>
      <c r="AX36" s="10">
        <v>0</v>
      </c>
      <c r="AY36" s="10">
        <v>2304813.85</v>
      </c>
      <c r="AZ36" s="10">
        <v>3866467.37</v>
      </c>
      <c r="BA36" s="10">
        <v>20181129</v>
      </c>
      <c r="BB36" s="10">
        <v>0</v>
      </c>
      <c r="BC36" s="10">
        <v>0</v>
      </c>
      <c r="BD36" s="10">
        <v>0</v>
      </c>
      <c r="BE36" s="10">
        <v>0</v>
      </c>
      <c r="BF36" s="10">
        <v>20111101</v>
      </c>
      <c r="BG36" s="10">
        <v>2222.36</v>
      </c>
      <c r="BH36" s="10" t="s">
        <v>123</v>
      </c>
      <c r="BI36" s="10" t="s">
        <v>123</v>
      </c>
      <c r="BJ36" s="10">
        <v>20110131</v>
      </c>
      <c r="BK36" s="10">
        <v>704282.91</v>
      </c>
      <c r="BL36" s="10">
        <v>509519.25</v>
      </c>
      <c r="BM36" s="10">
        <v>11585.62</v>
      </c>
      <c r="BN36" s="10">
        <v>-1442.71</v>
      </c>
      <c r="BO36" s="10" t="s">
        <v>124</v>
      </c>
      <c r="BP36" s="10" t="s">
        <v>128</v>
      </c>
      <c r="BQ36" s="10" t="s">
        <v>128</v>
      </c>
      <c r="BR36" s="10" t="s">
        <v>124</v>
      </c>
      <c r="BS36" s="10" t="s">
        <v>123</v>
      </c>
      <c r="BT36" s="10" t="s">
        <v>154</v>
      </c>
      <c r="BU36" s="10" t="s">
        <v>123</v>
      </c>
      <c r="BV36" s="10" t="s">
        <v>123</v>
      </c>
      <c r="BW36" s="10" t="s">
        <v>123</v>
      </c>
      <c r="BX36" s="10" t="s">
        <v>123</v>
      </c>
      <c r="BY36" s="10">
        <v>0</v>
      </c>
      <c r="BZ36" s="10" t="s">
        <v>123</v>
      </c>
      <c r="CA36" s="10" t="s">
        <v>123</v>
      </c>
      <c r="CB36" s="10">
        <v>0</v>
      </c>
      <c r="CC36" s="10" t="s">
        <v>123</v>
      </c>
      <c r="CD36" s="10">
        <v>69000000</v>
      </c>
      <c r="CE36" s="10" t="s">
        <v>123</v>
      </c>
      <c r="CF36" s="10" t="s">
        <v>123</v>
      </c>
      <c r="CG36" s="10">
        <v>11519661</v>
      </c>
      <c r="CH36" s="10">
        <v>26</v>
      </c>
      <c r="CI36" s="10" t="s">
        <v>129</v>
      </c>
      <c r="CJ36" s="10" t="s">
        <v>123</v>
      </c>
      <c r="CK36" s="10" t="s">
        <v>123</v>
      </c>
      <c r="CL36" s="10" t="s">
        <v>123</v>
      </c>
      <c r="CM36" s="10" t="s">
        <v>123</v>
      </c>
      <c r="CN36" s="10" t="s">
        <v>123</v>
      </c>
      <c r="CO36" s="10">
        <v>0</v>
      </c>
      <c r="CP36" s="10">
        <v>0</v>
      </c>
      <c r="CQ36" s="10">
        <v>1223945.07</v>
      </c>
      <c r="CR36" s="10">
        <v>1</v>
      </c>
      <c r="CS36" s="10" t="s">
        <v>123</v>
      </c>
      <c r="CT36" s="10" t="s">
        <v>123</v>
      </c>
      <c r="CU36" s="10" t="s">
        <v>123</v>
      </c>
      <c r="CV36" s="10">
        <v>17</v>
      </c>
    </row>
    <row r="37" spans="1:100" x14ac:dyDescent="0.25">
      <c r="A37" s="27">
        <v>18</v>
      </c>
      <c r="B37" s="21" t="s">
        <v>357</v>
      </c>
      <c r="C37" s="21" t="s">
        <v>622</v>
      </c>
      <c r="D37" s="22" t="s">
        <v>792</v>
      </c>
      <c r="E37" s="32" t="s">
        <v>358</v>
      </c>
      <c r="F37" s="25" t="s">
        <v>359</v>
      </c>
      <c r="G37" s="31" t="s">
        <v>254</v>
      </c>
      <c r="H37" s="31" t="s">
        <v>661</v>
      </c>
      <c r="I37" s="31" t="s">
        <v>255</v>
      </c>
      <c r="J37" s="31">
        <v>78840</v>
      </c>
      <c r="K37" s="10" t="s">
        <v>134</v>
      </c>
      <c r="L37" s="23" t="s">
        <v>117</v>
      </c>
      <c r="M37" s="11" t="s">
        <v>117</v>
      </c>
      <c r="N37" s="10" t="s">
        <v>118</v>
      </c>
      <c r="O37" s="10" t="s">
        <v>118</v>
      </c>
      <c r="P37" s="10" t="s">
        <v>119</v>
      </c>
      <c r="Q37" s="10" t="s">
        <v>119</v>
      </c>
      <c r="R37" s="10" t="s">
        <v>123</v>
      </c>
      <c r="S37" s="10">
        <v>20000201</v>
      </c>
      <c r="T37" s="10">
        <v>2</v>
      </c>
      <c r="U37" s="10" t="s">
        <v>120</v>
      </c>
      <c r="V37" s="10" t="s">
        <v>121</v>
      </c>
      <c r="W37" s="10" t="s">
        <v>122</v>
      </c>
      <c r="X37" s="10">
        <v>3000000</v>
      </c>
      <c r="Y37" s="10" t="str">
        <f t="shared" si="0"/>
        <v>2000</v>
      </c>
      <c r="Z37" s="10" t="str">
        <f t="shared" si="1"/>
        <v>0201</v>
      </c>
      <c r="AA37" s="10" t="str">
        <f t="shared" si="2"/>
        <v>02</v>
      </c>
      <c r="AB37" s="10" t="str">
        <f t="shared" si="3"/>
        <v>01</v>
      </c>
      <c r="AC37" s="10" t="str">
        <f t="shared" si="4"/>
        <v>2000-02-01</v>
      </c>
      <c r="AD37" s="10" t="s">
        <v>123</v>
      </c>
      <c r="AE37" s="10" t="s">
        <v>153</v>
      </c>
      <c r="AF37" s="10" t="s">
        <v>126</v>
      </c>
      <c r="AG37" s="10" t="s">
        <v>123</v>
      </c>
      <c r="AH37" s="10" t="s">
        <v>124</v>
      </c>
      <c r="AI37" s="10" t="s">
        <v>135</v>
      </c>
      <c r="AJ37" s="10" t="s">
        <v>123</v>
      </c>
      <c r="AK37" s="10">
        <v>60</v>
      </c>
      <c r="AL37" s="10">
        <v>0</v>
      </c>
      <c r="AM37" s="10">
        <v>0</v>
      </c>
      <c r="AN37" s="10" t="s">
        <v>124</v>
      </c>
      <c r="AO37" s="33">
        <v>0</v>
      </c>
      <c r="AP37" s="10" t="s">
        <v>123</v>
      </c>
      <c r="AQ37" s="10" t="s">
        <v>123</v>
      </c>
      <c r="AR37" s="10" t="s">
        <v>123</v>
      </c>
      <c r="AS37" s="10">
        <v>0</v>
      </c>
      <c r="AT37" s="10">
        <v>0</v>
      </c>
      <c r="AU37" s="33">
        <v>0</v>
      </c>
      <c r="AV37" s="10">
        <v>0</v>
      </c>
      <c r="AW37" s="10">
        <v>0</v>
      </c>
      <c r="AX37" s="10">
        <v>0</v>
      </c>
      <c r="AY37" s="10">
        <v>4080</v>
      </c>
      <c r="AZ37" s="10">
        <v>31321.38</v>
      </c>
      <c r="BA37" s="10">
        <v>20150310</v>
      </c>
      <c r="BB37" s="10">
        <v>4080</v>
      </c>
      <c r="BC37" s="10">
        <v>0</v>
      </c>
      <c r="BD37" s="10">
        <v>0</v>
      </c>
      <c r="BE37" s="10">
        <v>0</v>
      </c>
      <c r="BF37" s="10">
        <v>20060428</v>
      </c>
      <c r="BG37" s="10">
        <v>2640</v>
      </c>
      <c r="BH37" s="10" t="s">
        <v>123</v>
      </c>
      <c r="BI37" s="10" t="s">
        <v>123</v>
      </c>
      <c r="BJ37" s="10">
        <v>20110131</v>
      </c>
      <c r="BK37" s="10">
        <v>0</v>
      </c>
      <c r="BL37" s="10">
        <v>0</v>
      </c>
      <c r="BM37" s="10">
        <v>0</v>
      </c>
      <c r="BN37" s="10">
        <v>0</v>
      </c>
      <c r="BO37" s="10" t="s">
        <v>124</v>
      </c>
      <c r="BP37" s="10" t="s">
        <v>128</v>
      </c>
      <c r="BQ37" s="10" t="s">
        <v>128</v>
      </c>
      <c r="BR37" s="10" t="s">
        <v>124</v>
      </c>
      <c r="BS37" s="10" t="s">
        <v>123</v>
      </c>
      <c r="BT37" s="10" t="s">
        <v>154</v>
      </c>
      <c r="BU37" s="10" t="s">
        <v>123</v>
      </c>
      <c r="BV37" s="10" t="s">
        <v>123</v>
      </c>
      <c r="BW37" s="10" t="s">
        <v>123</v>
      </c>
      <c r="BX37" s="10" t="s">
        <v>123</v>
      </c>
      <c r="BY37" s="10">
        <v>0</v>
      </c>
      <c r="BZ37" s="10" t="s">
        <v>123</v>
      </c>
      <c r="CA37" s="10" t="s">
        <v>123</v>
      </c>
      <c r="CB37" s="10">
        <v>0</v>
      </c>
      <c r="CC37" s="10" t="s">
        <v>123</v>
      </c>
      <c r="CD37" s="10">
        <v>0</v>
      </c>
      <c r="CE37" s="10" t="s">
        <v>123</v>
      </c>
      <c r="CF37" s="10" t="s">
        <v>123</v>
      </c>
      <c r="CG37" s="10">
        <v>11519661</v>
      </c>
      <c r="CH37" s="10">
        <v>20</v>
      </c>
      <c r="CI37" s="10" t="s">
        <v>129</v>
      </c>
      <c r="CJ37" s="10" t="s">
        <v>123</v>
      </c>
      <c r="CK37" s="10" t="s">
        <v>123</v>
      </c>
      <c r="CL37" s="10" t="s">
        <v>123</v>
      </c>
      <c r="CM37" s="10" t="s">
        <v>123</v>
      </c>
      <c r="CN37" s="10" t="s">
        <v>123</v>
      </c>
      <c r="CO37" s="10">
        <v>0</v>
      </c>
      <c r="CP37" s="10">
        <v>0</v>
      </c>
      <c r="CQ37" s="10">
        <v>0</v>
      </c>
      <c r="CR37" s="10" t="s">
        <v>360</v>
      </c>
      <c r="CS37" s="10" t="s">
        <v>123</v>
      </c>
      <c r="CT37" s="10" t="s">
        <v>117</v>
      </c>
      <c r="CU37" s="10" t="s">
        <v>123</v>
      </c>
      <c r="CV37" s="10">
        <v>18</v>
      </c>
    </row>
    <row r="38" spans="1:100" x14ac:dyDescent="0.25">
      <c r="A38" s="27">
        <v>19</v>
      </c>
      <c r="B38" s="21" t="s">
        <v>361</v>
      </c>
      <c r="C38" s="21" t="s">
        <v>623</v>
      </c>
      <c r="D38" s="22" t="s">
        <v>792</v>
      </c>
      <c r="E38" s="32" t="s">
        <v>358</v>
      </c>
      <c r="F38" s="25" t="s">
        <v>362</v>
      </c>
      <c r="G38" s="31" t="s">
        <v>254</v>
      </c>
      <c r="H38" s="31" t="s">
        <v>661</v>
      </c>
      <c r="I38" s="31" t="s">
        <v>255</v>
      </c>
      <c r="J38" s="31">
        <v>78840</v>
      </c>
      <c r="K38" s="10" t="s">
        <v>134</v>
      </c>
      <c r="L38" s="23" t="s">
        <v>363</v>
      </c>
      <c r="M38" s="11" t="s">
        <v>123</v>
      </c>
      <c r="N38" s="10" t="s">
        <v>118</v>
      </c>
      <c r="O38" s="10" t="s">
        <v>123</v>
      </c>
      <c r="P38" s="10" t="s">
        <v>123</v>
      </c>
      <c r="Q38" s="10" t="s">
        <v>123</v>
      </c>
      <c r="R38" s="10" t="s">
        <v>123</v>
      </c>
      <c r="S38" s="10">
        <v>20000728</v>
      </c>
      <c r="T38" s="10">
        <v>2</v>
      </c>
      <c r="U38" s="10" t="s">
        <v>120</v>
      </c>
      <c r="V38" s="10" t="s">
        <v>121</v>
      </c>
      <c r="W38" s="10" t="s">
        <v>122</v>
      </c>
      <c r="X38" s="10">
        <v>3000000</v>
      </c>
      <c r="Y38" s="10" t="str">
        <f t="shared" si="0"/>
        <v>2000</v>
      </c>
      <c r="Z38" s="10" t="str">
        <f t="shared" si="1"/>
        <v>0728</v>
      </c>
      <c r="AA38" s="10" t="str">
        <f t="shared" si="2"/>
        <v>07</v>
      </c>
      <c r="AB38" s="10" t="str">
        <f t="shared" si="3"/>
        <v>28</v>
      </c>
      <c r="AC38" s="10" t="str">
        <f t="shared" si="4"/>
        <v>2000-07-28</v>
      </c>
      <c r="AD38" s="10" t="s">
        <v>123</v>
      </c>
      <c r="AE38" s="10" t="s">
        <v>125</v>
      </c>
      <c r="AF38" s="10" t="s">
        <v>126</v>
      </c>
      <c r="AG38" s="10" t="s">
        <v>123</v>
      </c>
      <c r="AH38" s="10" t="s">
        <v>124</v>
      </c>
      <c r="AI38" s="10" t="s">
        <v>135</v>
      </c>
      <c r="AJ38" s="10" t="s">
        <v>123</v>
      </c>
      <c r="AK38" s="10">
        <v>5</v>
      </c>
      <c r="AL38" s="10">
        <v>0</v>
      </c>
      <c r="AM38" s="10">
        <v>0</v>
      </c>
      <c r="AN38" s="10" t="s">
        <v>124</v>
      </c>
      <c r="AO38" s="33">
        <v>0</v>
      </c>
      <c r="AP38" s="10" t="s">
        <v>123</v>
      </c>
      <c r="AQ38" s="10" t="s">
        <v>123</v>
      </c>
      <c r="AR38" s="10" t="s">
        <v>123</v>
      </c>
      <c r="AS38" s="10">
        <v>0</v>
      </c>
      <c r="AT38" s="10">
        <v>0</v>
      </c>
      <c r="AU38" s="33">
        <v>0</v>
      </c>
      <c r="AV38" s="10">
        <v>0</v>
      </c>
      <c r="AW38" s="10">
        <v>0</v>
      </c>
      <c r="AX38" s="10">
        <v>0</v>
      </c>
      <c r="AY38" s="10">
        <v>33789031.18</v>
      </c>
      <c r="AZ38" s="10">
        <v>33789031.18</v>
      </c>
      <c r="BA38" s="10">
        <v>20190220</v>
      </c>
      <c r="BB38" s="10">
        <v>350</v>
      </c>
      <c r="BC38" s="10">
        <v>0</v>
      </c>
      <c r="BD38" s="10">
        <v>0</v>
      </c>
      <c r="BE38" s="10">
        <v>0</v>
      </c>
      <c r="BF38" s="10">
        <v>20140307</v>
      </c>
      <c r="BG38" s="10">
        <v>41183.1</v>
      </c>
      <c r="BH38" s="10" t="s">
        <v>123</v>
      </c>
      <c r="BI38" s="10" t="s">
        <v>123</v>
      </c>
      <c r="BJ38" s="10">
        <v>20110131</v>
      </c>
      <c r="BK38" s="10">
        <v>2406.5</v>
      </c>
      <c r="BL38" s="10">
        <v>1368.4</v>
      </c>
      <c r="BM38" s="10">
        <v>729.9</v>
      </c>
      <c r="BN38" s="10">
        <v>-0.01</v>
      </c>
      <c r="BO38" s="10" t="s">
        <v>124</v>
      </c>
      <c r="BP38" s="10" t="s">
        <v>128</v>
      </c>
      <c r="BQ38" s="10" t="s">
        <v>128</v>
      </c>
      <c r="BR38" s="10" t="s">
        <v>124</v>
      </c>
      <c r="BS38" s="10" t="s">
        <v>123</v>
      </c>
      <c r="BT38" s="10" t="s">
        <v>173</v>
      </c>
      <c r="BU38" s="10" t="s">
        <v>123</v>
      </c>
      <c r="BV38" s="10" t="s">
        <v>123</v>
      </c>
      <c r="BW38" s="10" t="s">
        <v>123</v>
      </c>
      <c r="BX38" s="10" t="s">
        <v>123</v>
      </c>
      <c r="BY38" s="10">
        <v>0</v>
      </c>
      <c r="BZ38" s="10" t="s">
        <v>123</v>
      </c>
      <c r="CA38" s="10" t="s">
        <v>123</v>
      </c>
      <c r="CB38" s="10">
        <v>0</v>
      </c>
      <c r="CC38" s="10" t="s">
        <v>123</v>
      </c>
      <c r="CD38" s="10">
        <v>69000000</v>
      </c>
      <c r="CE38" s="10" t="s">
        <v>123</v>
      </c>
      <c r="CF38" s="10" t="s">
        <v>123</v>
      </c>
      <c r="CG38" s="10">
        <v>11519661</v>
      </c>
      <c r="CH38" s="10">
        <v>26</v>
      </c>
      <c r="CI38" s="10" t="s">
        <v>129</v>
      </c>
      <c r="CJ38" s="10" t="s">
        <v>123</v>
      </c>
      <c r="CK38" s="10" t="s">
        <v>123</v>
      </c>
      <c r="CL38" s="10" t="s">
        <v>123</v>
      </c>
      <c r="CM38" s="10" t="s">
        <v>123</v>
      </c>
      <c r="CN38" s="10" t="s">
        <v>123</v>
      </c>
      <c r="CO38" s="10">
        <v>0</v>
      </c>
      <c r="CP38" s="10">
        <v>0</v>
      </c>
      <c r="CQ38" s="10">
        <v>2098.29</v>
      </c>
      <c r="CR38" s="10" t="s">
        <v>123</v>
      </c>
      <c r="CS38" s="10" t="s">
        <v>123</v>
      </c>
      <c r="CT38" s="10" t="s">
        <v>123</v>
      </c>
      <c r="CU38" s="10" t="s">
        <v>123</v>
      </c>
      <c r="CV38" s="10">
        <v>19</v>
      </c>
    </row>
    <row r="39" spans="1:100" x14ac:dyDescent="0.25">
      <c r="A39" s="27">
        <v>47</v>
      </c>
      <c r="B39" s="21" t="s">
        <v>364</v>
      </c>
      <c r="C39" s="21" t="s">
        <v>624</v>
      </c>
      <c r="D39" s="22" t="s">
        <v>792</v>
      </c>
      <c r="E39" s="32" t="s">
        <v>358</v>
      </c>
      <c r="F39" s="25" t="s">
        <v>359</v>
      </c>
      <c r="G39" s="31" t="s">
        <v>254</v>
      </c>
      <c r="H39" s="31" t="s">
        <v>661</v>
      </c>
      <c r="I39" s="31" t="s">
        <v>255</v>
      </c>
      <c r="J39" s="31">
        <v>78840</v>
      </c>
      <c r="K39" s="10" t="s">
        <v>134</v>
      </c>
      <c r="L39" s="23" t="s">
        <v>117</v>
      </c>
      <c r="M39" s="11" t="s">
        <v>117</v>
      </c>
      <c r="N39" s="10" t="s">
        <v>118</v>
      </c>
      <c r="O39" s="10" t="s">
        <v>118</v>
      </c>
      <c r="P39" s="10" t="s">
        <v>119</v>
      </c>
      <c r="Q39" s="10" t="s">
        <v>119</v>
      </c>
      <c r="R39" s="10" t="s">
        <v>123</v>
      </c>
      <c r="S39" s="10">
        <v>20150831</v>
      </c>
      <c r="T39" s="10">
        <v>2</v>
      </c>
      <c r="U39" s="10" t="s">
        <v>120</v>
      </c>
      <c r="V39" s="10" t="s">
        <v>121</v>
      </c>
      <c r="W39" s="10" t="s">
        <v>122</v>
      </c>
      <c r="X39" s="10">
        <v>3000000</v>
      </c>
      <c r="Y39" s="10" t="str">
        <f t="shared" si="0"/>
        <v>2015</v>
      </c>
      <c r="Z39" s="10" t="str">
        <f t="shared" si="1"/>
        <v>0831</v>
      </c>
      <c r="AA39" s="10" t="str">
        <f t="shared" si="2"/>
        <v>08</v>
      </c>
      <c r="AB39" s="10" t="str">
        <f t="shared" si="3"/>
        <v>31</v>
      </c>
      <c r="AC39" s="10" t="str">
        <f t="shared" si="4"/>
        <v>2015-08-31</v>
      </c>
      <c r="AD39" s="10" t="s">
        <v>123</v>
      </c>
      <c r="AE39" s="10" t="s">
        <v>125</v>
      </c>
      <c r="AF39" s="10" t="s">
        <v>126</v>
      </c>
      <c r="AG39" s="10" t="s">
        <v>123</v>
      </c>
      <c r="AH39" s="10" t="s">
        <v>124</v>
      </c>
      <c r="AI39" s="10" t="s">
        <v>135</v>
      </c>
      <c r="AJ39" s="10" t="s">
        <v>123</v>
      </c>
      <c r="AK39" s="10">
        <v>60</v>
      </c>
      <c r="AL39" s="10">
        <v>0</v>
      </c>
      <c r="AM39" s="10">
        <v>0</v>
      </c>
      <c r="AN39" s="10" t="s">
        <v>124</v>
      </c>
      <c r="AO39" s="33">
        <v>0</v>
      </c>
      <c r="AP39" s="10" t="s">
        <v>123</v>
      </c>
      <c r="AQ39" s="10" t="s">
        <v>123</v>
      </c>
      <c r="AR39" s="10" t="s">
        <v>123</v>
      </c>
      <c r="AS39" s="10">
        <v>0</v>
      </c>
      <c r="AT39" s="10">
        <v>0</v>
      </c>
      <c r="AU39" s="33">
        <v>0</v>
      </c>
      <c r="AV39" s="10">
        <v>0</v>
      </c>
      <c r="AW39" s="10">
        <v>0</v>
      </c>
      <c r="AX39" s="10">
        <v>0</v>
      </c>
      <c r="AY39" s="10">
        <v>2700</v>
      </c>
      <c r="AZ39" s="10">
        <v>2700</v>
      </c>
      <c r="BA39" s="10">
        <v>20160301</v>
      </c>
      <c r="BB39" s="10">
        <v>2700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 t="s">
        <v>123</v>
      </c>
      <c r="BI39" s="10" t="s">
        <v>123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 t="s">
        <v>124</v>
      </c>
      <c r="BP39" s="10" t="s">
        <v>128</v>
      </c>
      <c r="BQ39" s="10" t="s">
        <v>128</v>
      </c>
      <c r="BR39" s="10" t="s">
        <v>124</v>
      </c>
      <c r="BS39" s="10" t="s">
        <v>123</v>
      </c>
      <c r="BT39" s="10" t="s">
        <v>123</v>
      </c>
      <c r="BU39" s="10" t="s">
        <v>123</v>
      </c>
      <c r="BV39" s="10" t="s">
        <v>123</v>
      </c>
      <c r="BW39" s="10" t="s">
        <v>123</v>
      </c>
      <c r="BX39" s="10" t="s">
        <v>123</v>
      </c>
      <c r="BY39" s="10">
        <v>0</v>
      </c>
      <c r="BZ39" s="10" t="s">
        <v>123</v>
      </c>
      <c r="CA39" s="10" t="s">
        <v>123</v>
      </c>
      <c r="CB39" s="10">
        <v>0</v>
      </c>
      <c r="CC39" s="10" t="s">
        <v>123</v>
      </c>
      <c r="CD39" s="10">
        <v>69000000</v>
      </c>
      <c r="CE39" s="10" t="s">
        <v>123</v>
      </c>
      <c r="CF39" s="10" t="s">
        <v>123</v>
      </c>
      <c r="CG39" s="10" t="s">
        <v>123</v>
      </c>
      <c r="CH39" s="10">
        <v>26</v>
      </c>
      <c r="CI39" s="10" t="s">
        <v>129</v>
      </c>
      <c r="CJ39" s="10" t="s">
        <v>123</v>
      </c>
      <c r="CK39" s="10" t="s">
        <v>123</v>
      </c>
      <c r="CL39" s="10" t="s">
        <v>123</v>
      </c>
      <c r="CM39" s="10" t="s">
        <v>123</v>
      </c>
      <c r="CN39" s="10" t="s">
        <v>123</v>
      </c>
      <c r="CO39" s="10">
        <v>0</v>
      </c>
      <c r="CP39" s="10">
        <v>0</v>
      </c>
      <c r="CQ39" s="10">
        <v>0</v>
      </c>
      <c r="CR39" s="10" t="s">
        <v>123</v>
      </c>
      <c r="CS39" s="10" t="s">
        <v>123</v>
      </c>
      <c r="CT39" s="10" t="s">
        <v>117</v>
      </c>
      <c r="CU39" s="10" t="s">
        <v>123</v>
      </c>
      <c r="CV39" s="10">
        <v>47</v>
      </c>
    </row>
    <row r="40" spans="1:100" x14ac:dyDescent="0.25">
      <c r="A40" s="27">
        <v>41</v>
      </c>
      <c r="B40" s="21" t="s">
        <v>365</v>
      </c>
      <c r="C40" s="21" t="s">
        <v>625</v>
      </c>
      <c r="D40" s="22" t="s">
        <v>805</v>
      </c>
      <c r="E40" s="32" t="s">
        <v>366</v>
      </c>
      <c r="F40" s="25" t="s">
        <v>123</v>
      </c>
      <c r="G40" s="31" t="s">
        <v>367</v>
      </c>
      <c r="H40" s="31" t="s">
        <v>672</v>
      </c>
      <c r="I40" s="31" t="s">
        <v>123</v>
      </c>
      <c r="J40" s="31">
        <v>48836</v>
      </c>
      <c r="K40" s="10" t="s">
        <v>134</v>
      </c>
      <c r="L40" s="23" t="s">
        <v>368</v>
      </c>
      <c r="M40" s="11" t="s">
        <v>123</v>
      </c>
      <c r="N40" s="10" t="s">
        <v>369</v>
      </c>
      <c r="O40" s="10" t="s">
        <v>123</v>
      </c>
      <c r="P40" s="10" t="s">
        <v>123</v>
      </c>
      <c r="Q40" s="10" t="s">
        <v>123</v>
      </c>
      <c r="R40" s="10" t="s">
        <v>370</v>
      </c>
      <c r="S40" s="10">
        <v>20080305</v>
      </c>
      <c r="T40" s="10">
        <v>2</v>
      </c>
      <c r="U40" s="10" t="s">
        <v>120</v>
      </c>
      <c r="V40" s="10" t="s">
        <v>121</v>
      </c>
      <c r="W40" s="10" t="s">
        <v>122</v>
      </c>
      <c r="X40" s="10" t="s">
        <v>123</v>
      </c>
      <c r="Y40" s="10" t="str">
        <f t="shared" si="0"/>
        <v>2008</v>
      </c>
      <c r="Z40" s="10" t="str">
        <f t="shared" si="1"/>
        <v>0305</v>
      </c>
      <c r="AA40" s="10" t="str">
        <f t="shared" si="2"/>
        <v>03</v>
      </c>
      <c r="AB40" s="10" t="str">
        <f t="shared" si="3"/>
        <v>05</v>
      </c>
      <c r="AC40" s="10" t="str">
        <f t="shared" si="4"/>
        <v>2008-03-05</v>
      </c>
      <c r="AD40" s="10" t="s">
        <v>123</v>
      </c>
      <c r="AE40" s="10" t="s">
        <v>123</v>
      </c>
      <c r="AF40" s="10" t="s">
        <v>126</v>
      </c>
      <c r="AG40" s="10" t="s">
        <v>123</v>
      </c>
      <c r="AH40" s="10" t="s">
        <v>124</v>
      </c>
      <c r="AI40" s="10" t="s">
        <v>135</v>
      </c>
      <c r="AJ40" s="10" t="s">
        <v>123</v>
      </c>
      <c r="AK40" s="10">
        <v>30</v>
      </c>
      <c r="AL40" s="10">
        <v>0</v>
      </c>
      <c r="AM40" s="10">
        <v>0</v>
      </c>
      <c r="AN40" s="10" t="s">
        <v>124</v>
      </c>
      <c r="AO40" s="10" t="s">
        <v>123</v>
      </c>
      <c r="AP40" s="10" t="s">
        <v>123</v>
      </c>
      <c r="AQ40" s="10" t="s">
        <v>123</v>
      </c>
      <c r="AR40" s="10" t="s">
        <v>123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 t="s">
        <v>123</v>
      </c>
      <c r="BI40" s="10" t="s">
        <v>123</v>
      </c>
      <c r="BJ40" s="10">
        <v>20110131</v>
      </c>
      <c r="BK40" s="10">
        <v>0</v>
      </c>
      <c r="BL40" s="10">
        <v>0</v>
      </c>
      <c r="BM40" s="10">
        <v>0</v>
      </c>
      <c r="BN40" s="10">
        <v>0</v>
      </c>
      <c r="BO40" s="10" t="s">
        <v>124</v>
      </c>
      <c r="BP40" s="10" t="s">
        <v>128</v>
      </c>
      <c r="BQ40" s="10" t="s">
        <v>128</v>
      </c>
      <c r="BR40" s="10" t="s">
        <v>124</v>
      </c>
      <c r="BS40" s="10" t="s">
        <v>123</v>
      </c>
      <c r="BT40" s="10" t="s">
        <v>123</v>
      </c>
      <c r="BU40" s="10" t="s">
        <v>123</v>
      </c>
      <c r="BV40" s="10" t="s">
        <v>157</v>
      </c>
      <c r="BW40" s="10" t="s">
        <v>371</v>
      </c>
      <c r="BX40" s="10" t="s">
        <v>123</v>
      </c>
      <c r="BY40" s="10">
        <v>0</v>
      </c>
      <c r="BZ40" s="10" t="s">
        <v>123</v>
      </c>
      <c r="CA40" s="10" t="s">
        <v>123</v>
      </c>
      <c r="CB40" s="10">
        <v>0</v>
      </c>
      <c r="CC40" s="10" t="s">
        <v>123</v>
      </c>
      <c r="CD40" s="10">
        <v>65000000</v>
      </c>
      <c r="CE40" s="10" t="s">
        <v>123</v>
      </c>
      <c r="CF40" s="10" t="s">
        <v>123</v>
      </c>
      <c r="CG40" s="10" t="s">
        <v>123</v>
      </c>
      <c r="CH40" s="10">
        <v>26</v>
      </c>
      <c r="CI40" s="10" t="s">
        <v>129</v>
      </c>
      <c r="CJ40" s="10" t="s">
        <v>123</v>
      </c>
      <c r="CK40" s="10" t="s">
        <v>123</v>
      </c>
      <c r="CL40" s="10" t="s">
        <v>123</v>
      </c>
      <c r="CM40" s="10" t="s">
        <v>123</v>
      </c>
      <c r="CN40" s="10" t="s">
        <v>123</v>
      </c>
      <c r="CO40" s="10">
        <v>0</v>
      </c>
      <c r="CP40" s="10">
        <v>0</v>
      </c>
      <c r="CQ40" s="10">
        <v>0</v>
      </c>
      <c r="CR40" s="10" t="s">
        <v>372</v>
      </c>
      <c r="CS40" s="10" t="s">
        <v>123</v>
      </c>
      <c r="CT40" s="10" t="s">
        <v>123</v>
      </c>
      <c r="CU40" s="10" t="s">
        <v>123</v>
      </c>
      <c r="CV40" s="10">
        <v>41</v>
      </c>
    </row>
    <row r="41" spans="1:100" x14ac:dyDescent="0.25">
      <c r="A41" s="27">
        <v>20</v>
      </c>
      <c r="B41" s="21" t="s">
        <v>373</v>
      </c>
      <c r="C41" s="21" t="s">
        <v>626</v>
      </c>
      <c r="D41" s="22" t="s">
        <v>806</v>
      </c>
      <c r="E41" s="32" t="s">
        <v>374</v>
      </c>
      <c r="F41" s="25" t="s">
        <v>375</v>
      </c>
      <c r="G41" s="31" t="s">
        <v>376</v>
      </c>
      <c r="H41" s="31" t="s">
        <v>673</v>
      </c>
      <c r="I41" s="31" t="s">
        <v>377</v>
      </c>
      <c r="J41" s="31" t="s">
        <v>378</v>
      </c>
      <c r="K41" s="10" t="s">
        <v>151</v>
      </c>
      <c r="L41" s="23" t="s">
        <v>379</v>
      </c>
      <c r="M41" s="11" t="s">
        <v>123</v>
      </c>
      <c r="N41" s="10" t="s">
        <v>118</v>
      </c>
      <c r="O41" s="10" t="s">
        <v>123</v>
      </c>
      <c r="P41" s="10" t="s">
        <v>123</v>
      </c>
      <c r="Q41" s="10" t="s">
        <v>123</v>
      </c>
      <c r="R41" s="10" t="s">
        <v>123</v>
      </c>
      <c r="S41" s="10">
        <v>20000322</v>
      </c>
      <c r="T41" s="10">
        <v>2</v>
      </c>
      <c r="U41" s="10" t="s">
        <v>250</v>
      </c>
      <c r="V41" s="10" t="s">
        <v>121</v>
      </c>
      <c r="W41" s="10" t="s">
        <v>122</v>
      </c>
      <c r="X41" s="10">
        <v>1000</v>
      </c>
      <c r="Y41" s="10" t="str">
        <f t="shared" si="0"/>
        <v>2000</v>
      </c>
      <c r="Z41" s="10" t="str">
        <f t="shared" si="1"/>
        <v>0322</v>
      </c>
      <c r="AA41" s="10" t="str">
        <f t="shared" si="2"/>
        <v>03</v>
      </c>
      <c r="AB41" s="10" t="str">
        <f t="shared" si="3"/>
        <v>22</v>
      </c>
      <c r="AC41" s="10" t="str">
        <f t="shared" si="4"/>
        <v>2000-03-22</v>
      </c>
      <c r="AD41" s="10" t="s">
        <v>123</v>
      </c>
      <c r="AE41" s="10" t="s">
        <v>153</v>
      </c>
      <c r="AF41" s="10" t="s">
        <v>126</v>
      </c>
      <c r="AG41" s="10" t="s">
        <v>123</v>
      </c>
      <c r="AH41" s="10" t="s">
        <v>124</v>
      </c>
      <c r="AI41" s="10" t="s">
        <v>188</v>
      </c>
      <c r="AJ41" s="10" t="s">
        <v>123</v>
      </c>
      <c r="AK41" s="10">
        <v>14</v>
      </c>
      <c r="AL41" s="10">
        <v>0</v>
      </c>
      <c r="AM41" s="10">
        <v>0</v>
      </c>
      <c r="AN41" s="10" t="s">
        <v>124</v>
      </c>
      <c r="AO41" s="10" t="s">
        <v>223</v>
      </c>
      <c r="AP41" s="10" t="s">
        <v>123</v>
      </c>
      <c r="AQ41" s="10" t="s">
        <v>123</v>
      </c>
      <c r="AR41" s="10" t="s">
        <v>123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990</v>
      </c>
      <c r="BA41" s="10">
        <v>20040105</v>
      </c>
      <c r="BB41" s="10">
        <v>990</v>
      </c>
      <c r="BC41" s="10">
        <v>0</v>
      </c>
      <c r="BD41" s="10">
        <v>0</v>
      </c>
      <c r="BE41" s="10">
        <v>0</v>
      </c>
      <c r="BF41" s="10">
        <v>20040330</v>
      </c>
      <c r="BG41" s="10">
        <v>990</v>
      </c>
      <c r="BH41" s="10" t="s">
        <v>123</v>
      </c>
      <c r="BI41" s="10" t="s">
        <v>123</v>
      </c>
      <c r="BJ41" s="10">
        <v>20110131</v>
      </c>
      <c r="BK41" s="10">
        <v>0</v>
      </c>
      <c r="BL41" s="10">
        <v>0</v>
      </c>
      <c r="BM41" s="10">
        <v>0</v>
      </c>
      <c r="BN41" s="10">
        <v>0</v>
      </c>
      <c r="BO41" s="10" t="s">
        <v>124</v>
      </c>
      <c r="BP41" s="10" t="s">
        <v>128</v>
      </c>
      <c r="BQ41" s="10" t="s">
        <v>128</v>
      </c>
      <c r="BR41" s="10" t="s">
        <v>124</v>
      </c>
      <c r="BS41" s="10" t="s">
        <v>123</v>
      </c>
      <c r="BT41" s="10" t="s">
        <v>154</v>
      </c>
      <c r="BU41" s="10" t="s">
        <v>123</v>
      </c>
      <c r="BV41" s="10" t="s">
        <v>123</v>
      </c>
      <c r="BW41" s="10" t="s">
        <v>123</v>
      </c>
      <c r="BX41" s="10" t="s">
        <v>123</v>
      </c>
      <c r="BY41" s="10">
        <v>0</v>
      </c>
      <c r="BZ41" s="10" t="s">
        <v>123</v>
      </c>
      <c r="CA41" s="10" t="s">
        <v>123</v>
      </c>
      <c r="CB41" s="10">
        <v>0</v>
      </c>
      <c r="CC41" s="10" t="s">
        <v>123</v>
      </c>
      <c r="CD41" s="10">
        <v>0</v>
      </c>
      <c r="CE41" s="10" t="s">
        <v>123</v>
      </c>
      <c r="CF41" s="10" t="s">
        <v>123</v>
      </c>
      <c r="CG41" s="10" t="s">
        <v>123</v>
      </c>
      <c r="CH41" s="10">
        <v>20</v>
      </c>
      <c r="CI41" s="10" t="s">
        <v>129</v>
      </c>
      <c r="CJ41" s="10" t="s">
        <v>123</v>
      </c>
      <c r="CK41" s="10" t="s">
        <v>123</v>
      </c>
      <c r="CL41" s="10" t="s">
        <v>123</v>
      </c>
      <c r="CM41" s="10" t="s">
        <v>123</v>
      </c>
      <c r="CN41" s="10" t="s">
        <v>123</v>
      </c>
      <c r="CO41" s="10">
        <v>0</v>
      </c>
      <c r="CP41" s="10">
        <v>0</v>
      </c>
      <c r="CQ41" s="10">
        <v>0</v>
      </c>
      <c r="CR41" s="10" t="s">
        <v>123</v>
      </c>
      <c r="CS41" s="10" t="s">
        <v>123</v>
      </c>
      <c r="CT41" s="10" t="s">
        <v>123</v>
      </c>
      <c r="CU41" s="10" t="s">
        <v>123</v>
      </c>
      <c r="CV41" s="10">
        <v>20</v>
      </c>
    </row>
    <row r="42" spans="1:100" x14ac:dyDescent="0.25">
      <c r="A42" s="27">
        <v>21</v>
      </c>
      <c r="B42" s="21" t="s">
        <v>380</v>
      </c>
      <c r="C42" s="21" t="s">
        <v>627</v>
      </c>
      <c r="D42" s="22" t="s">
        <v>384</v>
      </c>
      <c r="E42" s="32" t="s">
        <v>381</v>
      </c>
      <c r="F42" s="25" t="s">
        <v>123</v>
      </c>
      <c r="G42" s="31" t="s">
        <v>382</v>
      </c>
      <c r="H42" s="31" t="s">
        <v>674</v>
      </c>
      <c r="I42" s="31" t="s">
        <v>383</v>
      </c>
      <c r="J42" s="31" t="s">
        <v>384</v>
      </c>
      <c r="K42" s="10" t="s">
        <v>134</v>
      </c>
      <c r="L42" s="23" t="s">
        <v>385</v>
      </c>
      <c r="M42" s="11" t="s">
        <v>123</v>
      </c>
      <c r="N42" s="10" t="s">
        <v>118</v>
      </c>
      <c r="O42" s="10" t="s">
        <v>123</v>
      </c>
      <c r="P42" s="10" t="s">
        <v>123</v>
      </c>
      <c r="Q42" s="10" t="s">
        <v>123</v>
      </c>
      <c r="R42" s="10" t="s">
        <v>123</v>
      </c>
      <c r="S42" s="10">
        <v>20000322</v>
      </c>
      <c r="T42" s="10">
        <v>2</v>
      </c>
      <c r="U42" s="10" t="s">
        <v>250</v>
      </c>
      <c r="V42" s="10" t="s">
        <v>121</v>
      </c>
      <c r="W42" s="10" t="s">
        <v>122</v>
      </c>
      <c r="X42" s="10">
        <v>1000</v>
      </c>
      <c r="Y42" s="10" t="str">
        <f t="shared" si="0"/>
        <v>2000</v>
      </c>
      <c r="Z42" s="10" t="str">
        <f t="shared" si="1"/>
        <v>0322</v>
      </c>
      <c r="AA42" s="10" t="str">
        <f t="shared" si="2"/>
        <v>03</v>
      </c>
      <c r="AB42" s="10" t="str">
        <f t="shared" si="3"/>
        <v>22</v>
      </c>
      <c r="AC42" s="10" t="str">
        <f t="shared" si="4"/>
        <v>2000-03-22</v>
      </c>
      <c r="AD42" s="10" t="s">
        <v>123</v>
      </c>
      <c r="AE42" s="10" t="s">
        <v>153</v>
      </c>
      <c r="AF42" s="10" t="s">
        <v>126</v>
      </c>
      <c r="AG42" s="10" t="s">
        <v>123</v>
      </c>
      <c r="AH42" s="10" t="s">
        <v>124</v>
      </c>
      <c r="AI42" s="10" t="s">
        <v>188</v>
      </c>
      <c r="AJ42" s="10" t="s">
        <v>123</v>
      </c>
      <c r="AK42" s="10">
        <v>14</v>
      </c>
      <c r="AL42" s="10">
        <v>0</v>
      </c>
      <c r="AM42" s="10">
        <v>0</v>
      </c>
      <c r="AN42" s="10" t="s">
        <v>124</v>
      </c>
      <c r="AO42" s="10" t="s">
        <v>223</v>
      </c>
      <c r="AP42" s="10" t="s">
        <v>123</v>
      </c>
      <c r="AQ42" s="10" t="s">
        <v>123</v>
      </c>
      <c r="AR42" s="10" t="s">
        <v>123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20000330</v>
      </c>
      <c r="BB42" s="10">
        <v>56.66</v>
      </c>
      <c r="BC42" s="10">
        <v>0</v>
      </c>
      <c r="BD42" s="10">
        <v>0</v>
      </c>
      <c r="BE42" s="10">
        <v>0</v>
      </c>
      <c r="BF42" s="10">
        <v>20000621</v>
      </c>
      <c r="BG42" s="10">
        <v>56.66</v>
      </c>
      <c r="BH42" s="10" t="s">
        <v>123</v>
      </c>
      <c r="BI42" s="10" t="s">
        <v>123</v>
      </c>
      <c r="BJ42" s="10">
        <v>20110131</v>
      </c>
      <c r="BK42" s="10">
        <v>0</v>
      </c>
      <c r="BL42" s="10">
        <v>0</v>
      </c>
      <c r="BM42" s="10">
        <v>0</v>
      </c>
      <c r="BN42" s="10">
        <v>0</v>
      </c>
      <c r="BO42" s="10" t="s">
        <v>124</v>
      </c>
      <c r="BP42" s="10" t="s">
        <v>128</v>
      </c>
      <c r="BQ42" s="10" t="s">
        <v>128</v>
      </c>
      <c r="BR42" s="10" t="s">
        <v>124</v>
      </c>
      <c r="BS42" s="10" t="s">
        <v>123</v>
      </c>
      <c r="BT42" s="10" t="s">
        <v>154</v>
      </c>
      <c r="BU42" s="10" t="s">
        <v>123</v>
      </c>
      <c r="BV42" s="10" t="s">
        <v>123</v>
      </c>
      <c r="BW42" s="10" t="s">
        <v>123</v>
      </c>
      <c r="BX42" s="10" t="s">
        <v>123</v>
      </c>
      <c r="BY42" s="10">
        <v>0</v>
      </c>
      <c r="BZ42" s="10" t="s">
        <v>123</v>
      </c>
      <c r="CA42" s="10" t="s">
        <v>123</v>
      </c>
      <c r="CB42" s="10">
        <v>0</v>
      </c>
      <c r="CC42" s="10" t="s">
        <v>123</v>
      </c>
      <c r="CD42" s="10">
        <v>0</v>
      </c>
      <c r="CE42" s="10" t="s">
        <v>123</v>
      </c>
      <c r="CF42" s="10" t="s">
        <v>123</v>
      </c>
      <c r="CG42" s="10" t="s">
        <v>123</v>
      </c>
      <c r="CH42" s="10">
        <v>20</v>
      </c>
      <c r="CI42" s="10" t="s">
        <v>129</v>
      </c>
      <c r="CJ42" s="10" t="s">
        <v>123</v>
      </c>
      <c r="CK42" s="10" t="s">
        <v>123</v>
      </c>
      <c r="CL42" s="10" t="s">
        <v>123</v>
      </c>
      <c r="CM42" s="10" t="s">
        <v>123</v>
      </c>
      <c r="CN42" s="10" t="s">
        <v>123</v>
      </c>
      <c r="CO42" s="10">
        <v>0</v>
      </c>
      <c r="CP42" s="10">
        <v>0</v>
      </c>
      <c r="CQ42" s="10">
        <v>0</v>
      </c>
      <c r="CR42" s="10" t="s">
        <v>123</v>
      </c>
      <c r="CS42" s="10" t="s">
        <v>123</v>
      </c>
      <c r="CT42" s="10" t="s">
        <v>123</v>
      </c>
      <c r="CU42" s="10" t="s">
        <v>123</v>
      </c>
      <c r="CV42" s="10">
        <v>21</v>
      </c>
    </row>
    <row r="43" spans="1:100" x14ac:dyDescent="0.25">
      <c r="A43" s="27">
        <v>22</v>
      </c>
      <c r="B43" s="21" t="s">
        <v>386</v>
      </c>
      <c r="C43" s="21" t="s">
        <v>628</v>
      </c>
      <c r="D43" s="22" t="s">
        <v>807</v>
      </c>
      <c r="E43" s="32" t="s">
        <v>387</v>
      </c>
      <c r="F43" s="25" t="s">
        <v>388</v>
      </c>
      <c r="G43" s="31" t="s">
        <v>389</v>
      </c>
      <c r="H43" s="31" t="s">
        <v>675</v>
      </c>
      <c r="I43" s="31" t="s">
        <v>390</v>
      </c>
      <c r="J43" s="31">
        <v>4215</v>
      </c>
      <c r="K43" s="10" t="s">
        <v>391</v>
      </c>
      <c r="L43" s="23" t="s">
        <v>123</v>
      </c>
      <c r="M43" s="11" t="s">
        <v>123</v>
      </c>
      <c r="N43" s="10" t="s">
        <v>392</v>
      </c>
      <c r="O43" s="10" t="s">
        <v>123</v>
      </c>
      <c r="P43" s="10" t="s">
        <v>123</v>
      </c>
      <c r="Q43" s="10" t="s">
        <v>123</v>
      </c>
      <c r="R43" s="10" t="s">
        <v>393</v>
      </c>
      <c r="S43" s="10">
        <v>20010803</v>
      </c>
      <c r="T43" s="10">
        <v>2</v>
      </c>
      <c r="U43" s="10" t="s">
        <v>143</v>
      </c>
      <c r="V43" s="10" t="s">
        <v>121</v>
      </c>
      <c r="W43" s="10" t="s">
        <v>122</v>
      </c>
      <c r="X43" s="10">
        <v>50000</v>
      </c>
      <c r="Y43" s="10" t="str">
        <f t="shared" si="0"/>
        <v>2001</v>
      </c>
      <c r="Z43" s="10" t="str">
        <f t="shared" si="1"/>
        <v>0803</v>
      </c>
      <c r="AA43" s="10" t="str">
        <f t="shared" si="2"/>
        <v>08</v>
      </c>
      <c r="AB43" s="10" t="str">
        <f t="shared" si="3"/>
        <v>03</v>
      </c>
      <c r="AC43" s="10" t="str">
        <f t="shared" si="4"/>
        <v>2001-08-03</v>
      </c>
      <c r="AD43" s="10" t="s">
        <v>123</v>
      </c>
      <c r="AE43" s="10" t="s">
        <v>123</v>
      </c>
      <c r="AF43" s="10" t="s">
        <v>126</v>
      </c>
      <c r="AG43" s="10" t="s">
        <v>123</v>
      </c>
      <c r="AH43" s="10" t="s">
        <v>124</v>
      </c>
      <c r="AI43" s="10" t="s">
        <v>135</v>
      </c>
      <c r="AJ43" s="10" t="s">
        <v>123</v>
      </c>
      <c r="AK43" s="10">
        <v>14</v>
      </c>
      <c r="AL43" s="10">
        <v>0</v>
      </c>
      <c r="AM43" s="10">
        <v>0</v>
      </c>
      <c r="AN43" s="10" t="s">
        <v>124</v>
      </c>
      <c r="AO43" s="33">
        <v>0</v>
      </c>
      <c r="AP43" s="10" t="s">
        <v>123</v>
      </c>
      <c r="AQ43" s="10" t="s">
        <v>123</v>
      </c>
      <c r="AR43" s="10" t="s">
        <v>123</v>
      </c>
      <c r="AS43" s="10">
        <v>0</v>
      </c>
      <c r="AT43" s="10">
        <v>0</v>
      </c>
      <c r="AU43" s="33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 t="s">
        <v>123</v>
      </c>
      <c r="BI43" s="10" t="s">
        <v>123</v>
      </c>
      <c r="BJ43" s="10">
        <v>20110131</v>
      </c>
      <c r="BK43" s="10">
        <v>0</v>
      </c>
      <c r="BL43" s="10">
        <v>0</v>
      </c>
      <c r="BM43" s="10">
        <v>0</v>
      </c>
      <c r="BN43" s="10">
        <v>0</v>
      </c>
      <c r="BO43" s="10" t="s">
        <v>124</v>
      </c>
      <c r="BP43" s="10" t="s">
        <v>128</v>
      </c>
      <c r="BQ43" s="10" t="s">
        <v>128</v>
      </c>
      <c r="BR43" s="10" t="s">
        <v>124</v>
      </c>
      <c r="BS43" s="10" t="s">
        <v>123</v>
      </c>
      <c r="BT43" s="10" t="s">
        <v>394</v>
      </c>
      <c r="BU43" s="10" t="s">
        <v>123</v>
      </c>
      <c r="BV43" s="10" t="s">
        <v>123</v>
      </c>
      <c r="BW43" s="10" t="s">
        <v>123</v>
      </c>
      <c r="BX43" s="10" t="s">
        <v>123</v>
      </c>
      <c r="BY43" s="10">
        <v>0</v>
      </c>
      <c r="BZ43" s="10" t="s">
        <v>123</v>
      </c>
      <c r="CA43" s="10" t="s">
        <v>123</v>
      </c>
      <c r="CB43" s="10">
        <v>0</v>
      </c>
      <c r="CC43" s="10" t="s">
        <v>123</v>
      </c>
      <c r="CD43" s="10">
        <v>0</v>
      </c>
      <c r="CE43" s="10" t="s">
        <v>123</v>
      </c>
      <c r="CF43" s="10" t="s">
        <v>123</v>
      </c>
      <c r="CG43" s="10" t="s">
        <v>123</v>
      </c>
      <c r="CH43" s="10">
        <v>26</v>
      </c>
      <c r="CI43" s="10" t="s">
        <v>123</v>
      </c>
      <c r="CJ43" s="10" t="s">
        <v>123</v>
      </c>
      <c r="CK43" s="10" t="s">
        <v>123</v>
      </c>
      <c r="CL43" s="10" t="s">
        <v>123</v>
      </c>
      <c r="CM43" s="10" t="s">
        <v>123</v>
      </c>
      <c r="CN43" s="10" t="s">
        <v>123</v>
      </c>
      <c r="CO43" s="10">
        <v>0</v>
      </c>
      <c r="CP43" s="10">
        <v>0</v>
      </c>
      <c r="CQ43" s="10">
        <v>0</v>
      </c>
      <c r="CR43" s="10" t="s">
        <v>123</v>
      </c>
      <c r="CS43" s="10" t="s">
        <v>123</v>
      </c>
      <c r="CT43" s="10" t="s">
        <v>123</v>
      </c>
      <c r="CU43" s="10" t="s">
        <v>123</v>
      </c>
      <c r="CV43" s="10">
        <v>22</v>
      </c>
    </row>
    <row r="44" spans="1:100" x14ac:dyDescent="0.25">
      <c r="A44" s="27">
        <v>23</v>
      </c>
      <c r="B44" s="21" t="s">
        <v>395</v>
      </c>
      <c r="C44" s="21" t="s">
        <v>629</v>
      </c>
      <c r="D44" s="22" t="s">
        <v>807</v>
      </c>
      <c r="E44" s="32" t="s">
        <v>387</v>
      </c>
      <c r="F44" s="25" t="s">
        <v>388</v>
      </c>
      <c r="G44" s="31" t="s">
        <v>389</v>
      </c>
      <c r="H44" s="31" t="s">
        <v>675</v>
      </c>
      <c r="I44" s="31" t="s">
        <v>390</v>
      </c>
      <c r="J44" s="31">
        <v>4215</v>
      </c>
      <c r="K44" s="10" t="s">
        <v>391</v>
      </c>
      <c r="L44" s="23" t="s">
        <v>123</v>
      </c>
      <c r="M44" s="11" t="s">
        <v>123</v>
      </c>
      <c r="N44" s="10" t="s">
        <v>396</v>
      </c>
      <c r="O44" s="10" t="s">
        <v>123</v>
      </c>
      <c r="P44" s="10" t="s">
        <v>123</v>
      </c>
      <c r="Q44" s="10" t="s">
        <v>123</v>
      </c>
      <c r="R44" s="10" t="s">
        <v>397</v>
      </c>
      <c r="S44" s="10">
        <v>20010803</v>
      </c>
      <c r="T44" s="10">
        <v>2</v>
      </c>
      <c r="U44" s="10" t="s">
        <v>143</v>
      </c>
      <c r="V44" s="10" t="s">
        <v>121</v>
      </c>
      <c r="W44" s="10" t="s">
        <v>122</v>
      </c>
      <c r="X44" s="10">
        <v>50000</v>
      </c>
      <c r="Y44" s="10" t="str">
        <f t="shared" si="0"/>
        <v>2001</v>
      </c>
      <c r="Z44" s="10" t="str">
        <f t="shared" si="1"/>
        <v>0803</v>
      </c>
      <c r="AA44" s="10" t="str">
        <f t="shared" si="2"/>
        <v>08</v>
      </c>
      <c r="AB44" s="10" t="str">
        <f t="shared" si="3"/>
        <v>03</v>
      </c>
      <c r="AC44" s="10" t="str">
        <f t="shared" si="4"/>
        <v>2001-08-03</v>
      </c>
      <c r="AD44" s="10" t="s">
        <v>123</v>
      </c>
      <c r="AE44" s="10" t="s">
        <v>125</v>
      </c>
      <c r="AF44" s="10" t="s">
        <v>126</v>
      </c>
      <c r="AG44" s="10" t="s">
        <v>123</v>
      </c>
      <c r="AH44" s="10" t="s">
        <v>124</v>
      </c>
      <c r="AI44" s="10" t="s">
        <v>135</v>
      </c>
      <c r="AJ44" s="10" t="s">
        <v>123</v>
      </c>
      <c r="AK44" s="10">
        <v>14</v>
      </c>
      <c r="AL44" s="10">
        <v>0</v>
      </c>
      <c r="AM44" s="10">
        <v>0</v>
      </c>
      <c r="AN44" s="10" t="s">
        <v>124</v>
      </c>
      <c r="AO44" s="33">
        <v>0</v>
      </c>
      <c r="AP44" s="10" t="s">
        <v>123</v>
      </c>
      <c r="AQ44" s="10" t="s">
        <v>123</v>
      </c>
      <c r="AR44" s="10" t="s">
        <v>123</v>
      </c>
      <c r="AS44" s="10">
        <v>0</v>
      </c>
      <c r="AT44" s="10">
        <v>0</v>
      </c>
      <c r="AU44" s="33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80407.960000000006</v>
      </c>
      <c r="BA44" s="10">
        <v>20030227</v>
      </c>
      <c r="BB44" s="10">
        <v>7695</v>
      </c>
      <c r="BC44" s="10">
        <v>0</v>
      </c>
      <c r="BD44" s="10">
        <v>0</v>
      </c>
      <c r="BE44" s="10">
        <v>0</v>
      </c>
      <c r="BF44" s="10">
        <v>20030319</v>
      </c>
      <c r="BG44" s="10">
        <v>14879.7</v>
      </c>
      <c r="BH44" s="10" t="s">
        <v>123</v>
      </c>
      <c r="BI44" s="10" t="s">
        <v>123</v>
      </c>
      <c r="BJ44" s="10">
        <v>20110131</v>
      </c>
      <c r="BK44" s="10">
        <v>0</v>
      </c>
      <c r="BL44" s="10">
        <v>0</v>
      </c>
      <c r="BM44" s="10">
        <v>0</v>
      </c>
      <c r="BN44" s="10">
        <v>0</v>
      </c>
      <c r="BO44" s="10" t="s">
        <v>124</v>
      </c>
      <c r="BP44" s="10" t="s">
        <v>128</v>
      </c>
      <c r="BQ44" s="10" t="s">
        <v>128</v>
      </c>
      <c r="BR44" s="10" t="s">
        <v>124</v>
      </c>
      <c r="BS44" s="10" t="s">
        <v>123</v>
      </c>
      <c r="BT44" s="10" t="s">
        <v>394</v>
      </c>
      <c r="BU44" s="10" t="s">
        <v>123</v>
      </c>
      <c r="BV44" s="10" t="s">
        <v>123</v>
      </c>
      <c r="BW44" s="10" t="s">
        <v>123</v>
      </c>
      <c r="BX44" s="10" t="s">
        <v>123</v>
      </c>
      <c r="BY44" s="10">
        <v>0</v>
      </c>
      <c r="BZ44" s="10" t="s">
        <v>123</v>
      </c>
      <c r="CA44" s="10" t="s">
        <v>123</v>
      </c>
      <c r="CB44" s="10">
        <v>0</v>
      </c>
      <c r="CC44" s="10" t="s">
        <v>123</v>
      </c>
      <c r="CD44" s="10">
        <v>0</v>
      </c>
      <c r="CE44" s="10" t="s">
        <v>123</v>
      </c>
      <c r="CF44" s="10" t="s">
        <v>123</v>
      </c>
      <c r="CG44" s="10" t="s">
        <v>123</v>
      </c>
      <c r="CH44" s="10">
        <v>26</v>
      </c>
      <c r="CI44" s="10" t="s">
        <v>129</v>
      </c>
      <c r="CJ44" s="10" t="s">
        <v>123</v>
      </c>
      <c r="CK44" s="10" t="s">
        <v>123</v>
      </c>
      <c r="CL44" s="10" t="s">
        <v>123</v>
      </c>
      <c r="CM44" s="10" t="s">
        <v>123</v>
      </c>
      <c r="CN44" s="10" t="s">
        <v>123</v>
      </c>
      <c r="CO44" s="10">
        <v>0</v>
      </c>
      <c r="CP44" s="10">
        <v>0</v>
      </c>
      <c r="CQ44" s="10">
        <v>0</v>
      </c>
      <c r="CR44" s="10" t="s">
        <v>123</v>
      </c>
      <c r="CS44" s="10" t="s">
        <v>123</v>
      </c>
      <c r="CT44" s="10" t="s">
        <v>123</v>
      </c>
      <c r="CU44" s="10" t="s">
        <v>123</v>
      </c>
      <c r="CV44" s="10">
        <v>23</v>
      </c>
    </row>
    <row r="45" spans="1:100" x14ac:dyDescent="0.25">
      <c r="A45" s="27">
        <v>24</v>
      </c>
      <c r="B45" s="21" t="s">
        <v>398</v>
      </c>
      <c r="C45" s="21" t="s">
        <v>630</v>
      </c>
      <c r="D45" s="22" t="s">
        <v>808</v>
      </c>
      <c r="E45" s="32" t="s">
        <v>399</v>
      </c>
      <c r="F45" s="25" t="s">
        <v>400</v>
      </c>
      <c r="G45" s="31" t="s">
        <v>401</v>
      </c>
      <c r="H45" s="31" t="s">
        <v>676</v>
      </c>
      <c r="I45" s="31" t="s">
        <v>114</v>
      </c>
      <c r="J45" s="31">
        <v>48216</v>
      </c>
      <c r="K45" s="10" t="s">
        <v>134</v>
      </c>
      <c r="L45" s="23" t="s">
        <v>402</v>
      </c>
      <c r="M45" s="11" t="s">
        <v>123</v>
      </c>
      <c r="N45" s="10" t="s">
        <v>403</v>
      </c>
      <c r="O45" s="10" t="s">
        <v>404</v>
      </c>
      <c r="P45" s="10" t="s">
        <v>123</v>
      </c>
      <c r="Q45" s="10" t="s">
        <v>123</v>
      </c>
      <c r="R45" s="10" t="s">
        <v>123</v>
      </c>
      <c r="S45" s="10">
        <v>19981130</v>
      </c>
      <c r="T45" s="10">
        <v>2</v>
      </c>
      <c r="U45" s="10" t="s">
        <v>120</v>
      </c>
      <c r="V45" s="10" t="s">
        <v>121</v>
      </c>
      <c r="W45" s="10" t="s">
        <v>122</v>
      </c>
      <c r="X45" s="10" t="s">
        <v>123</v>
      </c>
      <c r="Y45" s="10" t="str">
        <f t="shared" si="0"/>
        <v>1998</v>
      </c>
      <c r="Z45" s="10" t="str">
        <f t="shared" si="1"/>
        <v>1130</v>
      </c>
      <c r="AA45" s="10" t="str">
        <f t="shared" si="2"/>
        <v>11</v>
      </c>
      <c r="AB45" s="10" t="str">
        <f t="shared" si="3"/>
        <v>30</v>
      </c>
      <c r="AC45" s="10" t="str">
        <f t="shared" si="4"/>
        <v>1998-11-30</v>
      </c>
      <c r="AD45" s="10" t="s">
        <v>123</v>
      </c>
      <c r="AE45" s="10" t="s">
        <v>153</v>
      </c>
      <c r="AF45" s="10" t="s">
        <v>126</v>
      </c>
      <c r="AG45" s="10" t="s">
        <v>123</v>
      </c>
      <c r="AH45" s="10" t="s">
        <v>124</v>
      </c>
      <c r="AI45" s="10" t="s">
        <v>188</v>
      </c>
      <c r="AJ45" s="10" t="s">
        <v>123</v>
      </c>
      <c r="AK45" s="10">
        <v>30</v>
      </c>
      <c r="AL45" s="10">
        <v>0</v>
      </c>
      <c r="AM45" s="10">
        <v>0</v>
      </c>
      <c r="AN45" s="10" t="s">
        <v>124</v>
      </c>
      <c r="AO45" s="10" t="s">
        <v>223</v>
      </c>
      <c r="AP45" s="10" t="s">
        <v>123</v>
      </c>
      <c r="AQ45" s="10" t="s">
        <v>123</v>
      </c>
      <c r="AR45" s="10" t="s">
        <v>123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95820.97</v>
      </c>
      <c r="BA45" s="10">
        <v>20000705</v>
      </c>
      <c r="BB45" s="10">
        <v>-1675.26</v>
      </c>
      <c r="BC45" s="10">
        <v>0</v>
      </c>
      <c r="BD45" s="10">
        <v>0</v>
      </c>
      <c r="BE45" s="10">
        <v>0</v>
      </c>
      <c r="BF45" s="10">
        <v>20010108</v>
      </c>
      <c r="BG45" s="10">
        <v>885</v>
      </c>
      <c r="BH45" s="10" t="s">
        <v>123</v>
      </c>
      <c r="BI45" s="10" t="s">
        <v>123</v>
      </c>
      <c r="BJ45" s="10">
        <v>20110131</v>
      </c>
      <c r="BK45" s="10">
        <v>0</v>
      </c>
      <c r="BL45" s="10">
        <v>0</v>
      </c>
      <c r="BM45" s="10">
        <v>0</v>
      </c>
      <c r="BN45" s="10">
        <v>0</v>
      </c>
      <c r="BO45" s="10" t="s">
        <v>124</v>
      </c>
      <c r="BP45" s="10" t="s">
        <v>128</v>
      </c>
      <c r="BQ45" s="10" t="s">
        <v>128</v>
      </c>
      <c r="BR45" s="10" t="s">
        <v>124</v>
      </c>
      <c r="BS45" s="10" t="s">
        <v>123</v>
      </c>
      <c r="BT45" s="10" t="s">
        <v>154</v>
      </c>
      <c r="BU45" s="10" t="s">
        <v>123</v>
      </c>
      <c r="BV45" s="10" t="s">
        <v>123</v>
      </c>
      <c r="BW45" s="10" t="s">
        <v>123</v>
      </c>
      <c r="BX45" s="10" t="s">
        <v>123</v>
      </c>
      <c r="BY45" s="10">
        <v>0</v>
      </c>
      <c r="BZ45" s="10" t="s">
        <v>123</v>
      </c>
      <c r="CA45" s="10" t="s">
        <v>123</v>
      </c>
      <c r="CB45" s="10">
        <v>0</v>
      </c>
      <c r="CC45" s="10" t="s">
        <v>123</v>
      </c>
      <c r="CD45" s="10">
        <v>69000000</v>
      </c>
      <c r="CE45" s="10" t="s">
        <v>123</v>
      </c>
      <c r="CF45" s="10" t="s">
        <v>123</v>
      </c>
      <c r="CG45" s="10" t="s">
        <v>123</v>
      </c>
      <c r="CH45" s="10">
        <v>20</v>
      </c>
      <c r="CI45" s="10" t="s">
        <v>129</v>
      </c>
      <c r="CJ45" s="10" t="s">
        <v>123</v>
      </c>
      <c r="CK45" s="10" t="s">
        <v>123</v>
      </c>
      <c r="CL45" s="10" t="s">
        <v>123</v>
      </c>
      <c r="CM45" s="10" t="s">
        <v>123</v>
      </c>
      <c r="CN45" s="10" t="s">
        <v>123</v>
      </c>
      <c r="CO45" s="10">
        <v>0</v>
      </c>
      <c r="CP45" s="10">
        <v>0</v>
      </c>
      <c r="CQ45" s="10">
        <v>0</v>
      </c>
      <c r="CR45" s="10" t="s">
        <v>405</v>
      </c>
      <c r="CS45" s="10" t="s">
        <v>123</v>
      </c>
      <c r="CT45" s="10" t="s">
        <v>123</v>
      </c>
      <c r="CU45" s="10" t="s">
        <v>123</v>
      </c>
      <c r="CV45" s="10">
        <v>24</v>
      </c>
    </row>
    <row r="46" spans="1:100" x14ac:dyDescent="0.25">
      <c r="A46" s="27">
        <v>25</v>
      </c>
      <c r="B46" s="21" t="s">
        <v>406</v>
      </c>
      <c r="C46" s="21" t="s">
        <v>631</v>
      </c>
      <c r="D46" s="22" t="s">
        <v>809</v>
      </c>
      <c r="E46" s="32" t="s">
        <v>407</v>
      </c>
      <c r="F46" s="25" t="s">
        <v>123</v>
      </c>
      <c r="G46" s="31" t="s">
        <v>408</v>
      </c>
      <c r="H46" s="31" t="s">
        <v>677</v>
      </c>
      <c r="I46" s="31" t="s">
        <v>409</v>
      </c>
      <c r="J46" s="31">
        <v>46241</v>
      </c>
      <c r="K46" s="10" t="s">
        <v>134</v>
      </c>
      <c r="L46" s="23" t="s">
        <v>410</v>
      </c>
      <c r="M46" s="11" t="s">
        <v>123</v>
      </c>
      <c r="N46" s="10" t="s">
        <v>411</v>
      </c>
      <c r="O46" s="10" t="s">
        <v>123</v>
      </c>
      <c r="P46" s="10" t="s">
        <v>123</v>
      </c>
      <c r="Q46" s="10" t="s">
        <v>123</v>
      </c>
      <c r="R46" s="10" t="s">
        <v>412</v>
      </c>
      <c r="S46" s="10">
        <v>19980701</v>
      </c>
      <c r="T46" s="10">
        <v>2</v>
      </c>
      <c r="U46" s="10" t="s">
        <v>120</v>
      </c>
      <c r="V46" s="10" t="s">
        <v>121</v>
      </c>
      <c r="W46" s="10" t="s">
        <v>122</v>
      </c>
      <c r="X46" s="10">
        <v>1500000</v>
      </c>
      <c r="Y46" s="10" t="str">
        <f t="shared" si="0"/>
        <v>1998</v>
      </c>
      <c r="Z46" s="10" t="str">
        <f t="shared" si="1"/>
        <v>0701</v>
      </c>
      <c r="AA46" s="10" t="str">
        <f t="shared" si="2"/>
        <v>07</v>
      </c>
      <c r="AB46" s="10" t="str">
        <f t="shared" si="3"/>
        <v>01</v>
      </c>
      <c r="AC46" s="10" t="str">
        <f t="shared" si="4"/>
        <v>1998-07-01</v>
      </c>
      <c r="AD46" s="10" t="s">
        <v>123</v>
      </c>
      <c r="AE46" s="10" t="s">
        <v>153</v>
      </c>
      <c r="AF46" s="10" t="s">
        <v>126</v>
      </c>
      <c r="AG46" s="10" t="s">
        <v>123</v>
      </c>
      <c r="AH46" s="10" t="s">
        <v>124</v>
      </c>
      <c r="AI46" s="10" t="s">
        <v>188</v>
      </c>
      <c r="AJ46" s="10" t="s">
        <v>123</v>
      </c>
      <c r="AK46" s="10">
        <v>30</v>
      </c>
      <c r="AL46" s="10">
        <v>0</v>
      </c>
      <c r="AM46" s="10">
        <v>0</v>
      </c>
      <c r="AN46" s="10" t="s">
        <v>124</v>
      </c>
      <c r="AO46" s="33">
        <v>0</v>
      </c>
      <c r="AP46" s="10" t="s">
        <v>123</v>
      </c>
      <c r="AQ46" s="10" t="s">
        <v>123</v>
      </c>
      <c r="AR46" s="10" t="s">
        <v>123</v>
      </c>
      <c r="AS46" s="10">
        <v>0</v>
      </c>
      <c r="AT46" s="10">
        <v>0</v>
      </c>
      <c r="AU46" s="33">
        <v>0</v>
      </c>
      <c r="AV46" s="10">
        <v>0</v>
      </c>
      <c r="AW46" s="10">
        <v>0</v>
      </c>
      <c r="AX46" s="10">
        <v>0</v>
      </c>
      <c r="AY46" s="10">
        <v>-4264.8</v>
      </c>
      <c r="AZ46" s="10">
        <v>2541959.91</v>
      </c>
      <c r="BA46" s="10">
        <v>20070509</v>
      </c>
      <c r="BB46" s="10">
        <v>162.9</v>
      </c>
      <c r="BC46" s="10">
        <v>0</v>
      </c>
      <c r="BD46" s="10">
        <v>0</v>
      </c>
      <c r="BE46" s="10">
        <v>0</v>
      </c>
      <c r="BF46" s="10">
        <v>20070716</v>
      </c>
      <c r="BG46" s="10">
        <v>162.9</v>
      </c>
      <c r="BH46" s="10" t="s">
        <v>123</v>
      </c>
      <c r="BI46" s="10" t="s">
        <v>123</v>
      </c>
      <c r="BJ46" s="10">
        <v>20110131</v>
      </c>
      <c r="BK46" s="10">
        <v>0</v>
      </c>
      <c r="BL46" s="10">
        <v>0</v>
      </c>
      <c r="BM46" s="10">
        <v>0</v>
      </c>
      <c r="BN46" s="10">
        <v>0</v>
      </c>
      <c r="BO46" s="10" t="s">
        <v>124</v>
      </c>
      <c r="BP46" s="10" t="s">
        <v>128</v>
      </c>
      <c r="BQ46" s="10" t="s">
        <v>128</v>
      </c>
      <c r="BR46" s="10" t="s">
        <v>124</v>
      </c>
      <c r="BS46" s="10" t="s">
        <v>123</v>
      </c>
      <c r="BT46" s="10" t="s">
        <v>154</v>
      </c>
      <c r="BU46" s="10" t="s">
        <v>123</v>
      </c>
      <c r="BV46" s="10" t="s">
        <v>123</v>
      </c>
      <c r="BW46" s="10" t="s">
        <v>123</v>
      </c>
      <c r="BX46" s="10" t="s">
        <v>123</v>
      </c>
      <c r="BY46" s="10">
        <v>0</v>
      </c>
      <c r="BZ46" s="10" t="s">
        <v>123</v>
      </c>
      <c r="CA46" s="10" t="s">
        <v>123</v>
      </c>
      <c r="CB46" s="10">
        <v>0</v>
      </c>
      <c r="CC46" s="10" t="s">
        <v>123</v>
      </c>
      <c r="CD46" s="10">
        <v>72000000</v>
      </c>
      <c r="CE46" s="10" t="s">
        <v>123</v>
      </c>
      <c r="CF46" s="10" t="s">
        <v>123</v>
      </c>
      <c r="CG46" s="10">
        <v>11519786</v>
      </c>
      <c r="CH46" s="10">
        <v>18</v>
      </c>
      <c r="CI46" s="10" t="s">
        <v>129</v>
      </c>
      <c r="CJ46" s="10">
        <v>2.84</v>
      </c>
      <c r="CK46" s="10" t="s">
        <v>123</v>
      </c>
      <c r="CL46" s="10" t="s">
        <v>123</v>
      </c>
      <c r="CM46" s="10" t="s">
        <v>123</v>
      </c>
      <c r="CN46" s="10" t="s">
        <v>123</v>
      </c>
      <c r="CO46" s="10">
        <v>0</v>
      </c>
      <c r="CP46" s="10">
        <v>0</v>
      </c>
      <c r="CQ46" s="10">
        <v>0</v>
      </c>
      <c r="CR46" s="10" t="s">
        <v>413</v>
      </c>
      <c r="CS46" s="10" t="s">
        <v>123</v>
      </c>
      <c r="CT46" s="10" t="s">
        <v>123</v>
      </c>
      <c r="CU46" s="10" t="s">
        <v>123</v>
      </c>
      <c r="CV46" s="10">
        <v>25</v>
      </c>
    </row>
    <row r="47" spans="1:100" x14ac:dyDescent="0.25">
      <c r="A47" s="27">
        <v>26</v>
      </c>
      <c r="B47" s="21" t="s">
        <v>414</v>
      </c>
      <c r="C47" s="21" t="s">
        <v>632</v>
      </c>
      <c r="D47" s="22" t="s">
        <v>810</v>
      </c>
      <c r="E47" s="32" t="s">
        <v>415</v>
      </c>
      <c r="F47" s="25" t="s">
        <v>416</v>
      </c>
      <c r="G47" s="31" t="s">
        <v>417</v>
      </c>
      <c r="H47" s="31" t="s">
        <v>678</v>
      </c>
      <c r="I47" s="31" t="s">
        <v>123</v>
      </c>
      <c r="J47" s="31" t="s">
        <v>418</v>
      </c>
      <c r="K47" s="10" t="s">
        <v>151</v>
      </c>
      <c r="L47" s="23" t="s">
        <v>123</v>
      </c>
      <c r="M47" s="11" t="s">
        <v>123</v>
      </c>
      <c r="N47" s="10" t="s">
        <v>118</v>
      </c>
      <c r="O47" s="10" t="s">
        <v>123</v>
      </c>
      <c r="P47" s="10" t="s">
        <v>123</v>
      </c>
      <c r="Q47" s="10" t="s">
        <v>123</v>
      </c>
      <c r="R47" s="10" t="s">
        <v>123</v>
      </c>
      <c r="S47" s="10">
        <v>20000622</v>
      </c>
      <c r="T47" s="10">
        <v>8</v>
      </c>
      <c r="U47" s="10" t="s">
        <v>187</v>
      </c>
      <c r="V47" s="10" t="s">
        <v>121</v>
      </c>
      <c r="W47" s="10" t="s">
        <v>122</v>
      </c>
      <c r="X47" s="10">
        <v>1000</v>
      </c>
      <c r="Y47" s="10" t="str">
        <f t="shared" si="0"/>
        <v>2000</v>
      </c>
      <c r="Z47" s="10" t="str">
        <f t="shared" si="1"/>
        <v>0622</v>
      </c>
      <c r="AA47" s="10" t="str">
        <f t="shared" si="2"/>
        <v>06</v>
      </c>
      <c r="AB47" s="10" t="str">
        <f t="shared" si="3"/>
        <v>22</v>
      </c>
      <c r="AC47" s="10" t="str">
        <f t="shared" si="4"/>
        <v>2000-06-22</v>
      </c>
      <c r="AD47" s="10" t="s">
        <v>123</v>
      </c>
      <c r="AE47" s="10" t="s">
        <v>123</v>
      </c>
      <c r="AF47" s="10" t="s">
        <v>126</v>
      </c>
      <c r="AG47" s="10" t="s">
        <v>123</v>
      </c>
      <c r="AH47" s="10" t="s">
        <v>124</v>
      </c>
      <c r="AI47" s="10" t="s">
        <v>419</v>
      </c>
      <c r="AJ47" s="10" t="s">
        <v>123</v>
      </c>
      <c r="AK47" s="10">
        <v>30</v>
      </c>
      <c r="AL47" s="10">
        <v>0</v>
      </c>
      <c r="AM47" s="10">
        <v>0</v>
      </c>
      <c r="AN47" s="10" t="s">
        <v>124</v>
      </c>
      <c r="AO47" s="10" t="s">
        <v>223</v>
      </c>
      <c r="AP47" s="10" t="s">
        <v>123</v>
      </c>
      <c r="AQ47" s="10" t="s">
        <v>123</v>
      </c>
      <c r="AR47" s="10" t="s">
        <v>123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99263.16</v>
      </c>
      <c r="BA47" s="10">
        <v>20040315</v>
      </c>
      <c r="BB47" s="10">
        <v>-0.64</v>
      </c>
      <c r="BC47" s="10">
        <v>0</v>
      </c>
      <c r="BD47" s="10">
        <v>0</v>
      </c>
      <c r="BE47" s="10">
        <v>0</v>
      </c>
      <c r="BF47" s="10">
        <v>20020404</v>
      </c>
      <c r="BG47" s="10">
        <v>43008.639999999999</v>
      </c>
      <c r="BH47" s="10" t="s">
        <v>123</v>
      </c>
      <c r="BI47" s="10" t="s">
        <v>123</v>
      </c>
      <c r="BJ47" s="10">
        <v>20110131</v>
      </c>
      <c r="BK47" s="10">
        <v>0</v>
      </c>
      <c r="BL47" s="10">
        <v>0</v>
      </c>
      <c r="BM47" s="10">
        <v>0</v>
      </c>
      <c r="BN47" s="10">
        <v>0</v>
      </c>
      <c r="BO47" s="10" t="s">
        <v>124</v>
      </c>
      <c r="BP47" s="10" t="s">
        <v>128</v>
      </c>
      <c r="BQ47" s="10" t="s">
        <v>128</v>
      </c>
      <c r="BR47" s="10" t="s">
        <v>124</v>
      </c>
      <c r="BS47" s="10" t="s">
        <v>420</v>
      </c>
      <c r="BT47" s="10" t="s">
        <v>154</v>
      </c>
      <c r="BU47" s="10" t="s">
        <v>123</v>
      </c>
      <c r="BV47" s="10" t="s">
        <v>123</v>
      </c>
      <c r="BW47" s="10" t="s">
        <v>123</v>
      </c>
      <c r="BX47" s="10" t="s">
        <v>123</v>
      </c>
      <c r="BY47" s="10">
        <v>0</v>
      </c>
      <c r="BZ47" s="10" t="s">
        <v>123</v>
      </c>
      <c r="CA47" s="10" t="s">
        <v>123</v>
      </c>
      <c r="CB47" s="10">
        <v>0</v>
      </c>
      <c r="CC47" s="10" t="s">
        <v>123</v>
      </c>
      <c r="CD47" s="10">
        <v>0</v>
      </c>
      <c r="CE47" s="10" t="s">
        <v>123</v>
      </c>
      <c r="CF47" s="10" t="s">
        <v>123</v>
      </c>
      <c r="CG47" s="10" t="s">
        <v>123</v>
      </c>
      <c r="CH47" s="10">
        <v>20</v>
      </c>
      <c r="CI47" s="10" t="s">
        <v>421</v>
      </c>
      <c r="CJ47" s="10" t="s">
        <v>123</v>
      </c>
      <c r="CK47" s="10" t="s">
        <v>123</v>
      </c>
      <c r="CL47" s="10" t="s">
        <v>123</v>
      </c>
      <c r="CM47" s="10" t="s">
        <v>123</v>
      </c>
      <c r="CN47" s="10" t="s">
        <v>123</v>
      </c>
      <c r="CO47" s="10">
        <v>0</v>
      </c>
      <c r="CP47" s="10">
        <v>0</v>
      </c>
      <c r="CQ47" s="10">
        <v>0</v>
      </c>
      <c r="CR47" s="10" t="s">
        <v>123</v>
      </c>
      <c r="CS47" s="10" t="s">
        <v>123</v>
      </c>
      <c r="CT47" s="10" t="s">
        <v>123</v>
      </c>
      <c r="CU47" s="10" t="s">
        <v>123</v>
      </c>
      <c r="CV47" s="10">
        <v>26</v>
      </c>
    </row>
    <row r="48" spans="1:100" x14ac:dyDescent="0.25">
      <c r="A48" s="27">
        <v>43</v>
      </c>
      <c r="B48" s="21" t="s">
        <v>422</v>
      </c>
      <c r="C48" s="21" t="s">
        <v>633</v>
      </c>
      <c r="D48" s="22" t="s">
        <v>811</v>
      </c>
      <c r="E48" s="32" t="s">
        <v>423</v>
      </c>
      <c r="F48" s="25" t="s">
        <v>123</v>
      </c>
      <c r="G48" s="31" t="s">
        <v>424</v>
      </c>
      <c r="H48" s="31" t="s">
        <v>679</v>
      </c>
      <c r="I48" s="31" t="s">
        <v>133</v>
      </c>
      <c r="J48" s="31">
        <v>11030</v>
      </c>
      <c r="K48" s="10" t="s">
        <v>134</v>
      </c>
      <c r="L48" s="23" t="s">
        <v>425</v>
      </c>
      <c r="M48" s="11" t="s">
        <v>141</v>
      </c>
      <c r="N48" s="10" t="s">
        <v>142</v>
      </c>
      <c r="O48" s="10" t="s">
        <v>426</v>
      </c>
      <c r="P48" s="10" t="s">
        <v>123</v>
      </c>
      <c r="Q48" s="10" t="s">
        <v>123</v>
      </c>
      <c r="R48" s="10" t="s">
        <v>123</v>
      </c>
      <c r="S48" s="10">
        <v>20130124</v>
      </c>
      <c r="T48" s="10">
        <v>2</v>
      </c>
      <c r="U48" s="10" t="s">
        <v>143</v>
      </c>
      <c r="V48" s="10" t="s">
        <v>121</v>
      </c>
      <c r="W48" s="10" t="s">
        <v>122</v>
      </c>
      <c r="X48" s="10" t="s">
        <v>123</v>
      </c>
      <c r="Y48" s="10" t="str">
        <f t="shared" si="0"/>
        <v>2013</v>
      </c>
      <c r="Z48" s="10" t="str">
        <f t="shared" si="1"/>
        <v>0124</v>
      </c>
      <c r="AA48" s="10" t="str">
        <f t="shared" si="2"/>
        <v>01</v>
      </c>
      <c r="AB48" s="10" t="str">
        <f t="shared" si="3"/>
        <v>24</v>
      </c>
      <c r="AC48" s="10" t="str">
        <f t="shared" si="4"/>
        <v>2013-01-24</v>
      </c>
      <c r="AD48" s="10" t="s">
        <v>123</v>
      </c>
      <c r="AE48" s="10" t="s">
        <v>123</v>
      </c>
      <c r="AF48" s="10" t="s">
        <v>126</v>
      </c>
      <c r="AG48" s="10" t="s">
        <v>123</v>
      </c>
      <c r="AH48" s="10" t="s">
        <v>124</v>
      </c>
      <c r="AI48" s="10" t="s">
        <v>135</v>
      </c>
      <c r="AJ48" s="10" t="s">
        <v>123</v>
      </c>
      <c r="AK48" s="10" t="s">
        <v>145</v>
      </c>
      <c r="AL48" s="10">
        <v>0</v>
      </c>
      <c r="AM48" s="10">
        <v>0</v>
      </c>
      <c r="AN48" s="10" t="s">
        <v>124</v>
      </c>
      <c r="AO48" s="33">
        <v>0</v>
      </c>
      <c r="AP48" s="10" t="s">
        <v>123</v>
      </c>
      <c r="AQ48" s="10" t="s">
        <v>123</v>
      </c>
      <c r="AR48" s="10" t="s">
        <v>123</v>
      </c>
      <c r="AS48" s="10">
        <v>0</v>
      </c>
      <c r="AT48" s="10">
        <v>0</v>
      </c>
      <c r="AU48" s="33">
        <v>0</v>
      </c>
      <c r="AV48" s="10">
        <v>0</v>
      </c>
      <c r="AW48" s="10">
        <v>0</v>
      </c>
      <c r="AX48" s="10">
        <v>0</v>
      </c>
      <c r="AY48" s="10">
        <v>1502789.42</v>
      </c>
      <c r="AZ48" s="10">
        <v>1502789.42</v>
      </c>
      <c r="BA48" s="10">
        <v>20180704</v>
      </c>
      <c r="BB48" s="10">
        <v>27889.74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 t="s">
        <v>123</v>
      </c>
      <c r="BI48" s="10" t="s">
        <v>123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 t="s">
        <v>124</v>
      </c>
      <c r="BP48" s="10" t="s">
        <v>128</v>
      </c>
      <c r="BQ48" s="10" t="s">
        <v>128</v>
      </c>
      <c r="BR48" s="10" t="s">
        <v>124</v>
      </c>
      <c r="BS48" s="10" t="s">
        <v>123</v>
      </c>
      <c r="BT48" s="10" t="s">
        <v>123</v>
      </c>
      <c r="BU48" s="10" t="s">
        <v>123</v>
      </c>
      <c r="BV48" s="10" t="s">
        <v>123</v>
      </c>
      <c r="BW48" s="10" t="s">
        <v>123</v>
      </c>
      <c r="BX48" s="10" t="s">
        <v>123</v>
      </c>
      <c r="BY48" s="10">
        <v>0</v>
      </c>
      <c r="BZ48" s="10" t="s">
        <v>123</v>
      </c>
      <c r="CA48" s="10" t="s">
        <v>123</v>
      </c>
      <c r="CB48" s="10">
        <v>0</v>
      </c>
      <c r="CC48" s="10" t="s">
        <v>123</v>
      </c>
      <c r="CD48" s="10">
        <v>69000000</v>
      </c>
      <c r="CE48" s="10" t="s">
        <v>123</v>
      </c>
      <c r="CF48" s="10" t="s">
        <v>123</v>
      </c>
      <c r="CG48" s="10" t="s">
        <v>123</v>
      </c>
      <c r="CH48" s="10">
        <v>26</v>
      </c>
      <c r="CI48" s="10" t="s">
        <v>123</v>
      </c>
      <c r="CJ48" s="10" t="s">
        <v>123</v>
      </c>
      <c r="CK48" s="10" t="s">
        <v>123</v>
      </c>
      <c r="CL48" s="10" t="s">
        <v>123</v>
      </c>
      <c r="CM48" s="10" t="s">
        <v>123</v>
      </c>
      <c r="CN48" s="10" t="s">
        <v>123</v>
      </c>
      <c r="CO48" s="10">
        <v>0</v>
      </c>
      <c r="CP48" s="10">
        <v>0</v>
      </c>
      <c r="CQ48" s="10">
        <v>0</v>
      </c>
      <c r="CR48" s="10" t="s">
        <v>123</v>
      </c>
      <c r="CS48" s="10" t="s">
        <v>123</v>
      </c>
      <c r="CT48" s="10" t="s">
        <v>123</v>
      </c>
      <c r="CU48" s="10" t="s">
        <v>123</v>
      </c>
      <c r="CV48" s="10">
        <v>43</v>
      </c>
    </row>
    <row r="49" spans="1:100" x14ac:dyDescent="0.25">
      <c r="A49" s="27">
        <v>45</v>
      </c>
      <c r="B49" s="21" t="s">
        <v>427</v>
      </c>
      <c r="C49" s="21" t="s">
        <v>634</v>
      </c>
      <c r="D49" s="22" t="s">
        <v>812</v>
      </c>
      <c r="E49" s="32" t="s">
        <v>428</v>
      </c>
      <c r="F49" s="25" t="s">
        <v>123</v>
      </c>
      <c r="G49" s="31" t="s">
        <v>429</v>
      </c>
      <c r="H49" s="31" t="s">
        <v>680</v>
      </c>
      <c r="I49" s="31" t="s">
        <v>133</v>
      </c>
      <c r="J49" s="31">
        <v>12095</v>
      </c>
      <c r="K49" s="10" t="s">
        <v>134</v>
      </c>
      <c r="L49" s="23" t="s">
        <v>430</v>
      </c>
      <c r="M49" s="11" t="s">
        <v>123</v>
      </c>
      <c r="N49" s="10" t="s">
        <v>431</v>
      </c>
      <c r="O49" s="10" t="s">
        <v>123</v>
      </c>
      <c r="P49" s="10" t="s">
        <v>123</v>
      </c>
      <c r="Q49" s="10" t="s">
        <v>123</v>
      </c>
      <c r="R49" s="10" t="s">
        <v>123</v>
      </c>
      <c r="S49" s="10">
        <v>20150831</v>
      </c>
      <c r="T49" s="10">
        <v>2</v>
      </c>
      <c r="U49" s="10" t="s">
        <v>120</v>
      </c>
      <c r="V49" s="10" t="s">
        <v>121</v>
      </c>
      <c r="W49" s="10" t="s">
        <v>122</v>
      </c>
      <c r="X49" s="10">
        <v>3000000</v>
      </c>
      <c r="Y49" s="10" t="str">
        <f t="shared" si="0"/>
        <v>2015</v>
      </c>
      <c r="Z49" s="10" t="str">
        <f t="shared" si="1"/>
        <v>0831</v>
      </c>
      <c r="AA49" s="10" t="str">
        <f t="shared" si="2"/>
        <v>08</v>
      </c>
      <c r="AB49" s="10" t="str">
        <f t="shared" si="3"/>
        <v>31</v>
      </c>
      <c r="AC49" s="10" t="str">
        <f t="shared" si="4"/>
        <v>2015-08-31</v>
      </c>
      <c r="AD49" s="10" t="s">
        <v>123</v>
      </c>
      <c r="AE49" s="10" t="s">
        <v>125</v>
      </c>
      <c r="AF49" s="10" t="s">
        <v>126</v>
      </c>
      <c r="AG49" s="10" t="s">
        <v>123</v>
      </c>
      <c r="AH49" s="10" t="s">
        <v>124</v>
      </c>
      <c r="AI49" s="10" t="s">
        <v>135</v>
      </c>
      <c r="AJ49" s="10" t="s">
        <v>123</v>
      </c>
      <c r="AK49" s="10">
        <v>5</v>
      </c>
      <c r="AL49" s="10">
        <v>0</v>
      </c>
      <c r="AM49" s="10">
        <v>0</v>
      </c>
      <c r="AN49" s="10" t="s">
        <v>124</v>
      </c>
      <c r="AO49" s="33">
        <v>0</v>
      </c>
      <c r="AP49" s="10" t="s">
        <v>123</v>
      </c>
      <c r="AQ49" s="10" t="s">
        <v>123</v>
      </c>
      <c r="AR49" s="10" t="s">
        <v>123</v>
      </c>
      <c r="AS49" s="10">
        <v>0</v>
      </c>
      <c r="AT49" s="10">
        <v>0</v>
      </c>
      <c r="AU49" s="33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152.01</v>
      </c>
      <c r="BA49" s="10">
        <v>20160825</v>
      </c>
      <c r="BB49" s="10">
        <v>-152.01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 t="s">
        <v>123</v>
      </c>
      <c r="BI49" s="10" t="s">
        <v>123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 t="s">
        <v>124</v>
      </c>
      <c r="BP49" s="10" t="s">
        <v>128</v>
      </c>
      <c r="BQ49" s="10" t="s">
        <v>128</v>
      </c>
      <c r="BR49" s="10" t="s">
        <v>124</v>
      </c>
      <c r="BS49" s="10" t="s">
        <v>123</v>
      </c>
      <c r="BT49" s="10" t="s">
        <v>123</v>
      </c>
      <c r="BU49" s="10" t="s">
        <v>123</v>
      </c>
      <c r="BV49" s="10" t="s">
        <v>123</v>
      </c>
      <c r="BW49" s="10" t="s">
        <v>123</v>
      </c>
      <c r="BX49" s="10" t="s">
        <v>123</v>
      </c>
      <c r="BY49" s="10">
        <v>0</v>
      </c>
      <c r="BZ49" s="10" t="s">
        <v>123</v>
      </c>
      <c r="CA49" s="10" t="s">
        <v>123</v>
      </c>
      <c r="CB49" s="10">
        <v>0</v>
      </c>
      <c r="CC49" s="10" t="s">
        <v>123</v>
      </c>
      <c r="CD49" s="10">
        <v>69000000</v>
      </c>
      <c r="CE49" s="10" t="s">
        <v>123</v>
      </c>
      <c r="CF49" s="10" t="s">
        <v>123</v>
      </c>
      <c r="CG49" s="10" t="s">
        <v>123</v>
      </c>
      <c r="CH49" s="10">
        <v>26</v>
      </c>
      <c r="CI49" s="10" t="s">
        <v>129</v>
      </c>
      <c r="CJ49" s="10" t="s">
        <v>123</v>
      </c>
      <c r="CK49" s="10" t="s">
        <v>123</v>
      </c>
      <c r="CL49" s="10" t="s">
        <v>123</v>
      </c>
      <c r="CM49" s="10" t="s">
        <v>123</v>
      </c>
      <c r="CN49" s="10" t="s">
        <v>123</v>
      </c>
      <c r="CO49" s="10">
        <v>0</v>
      </c>
      <c r="CP49" s="10">
        <v>0</v>
      </c>
      <c r="CQ49" s="10">
        <v>0</v>
      </c>
      <c r="CR49" s="10" t="s">
        <v>123</v>
      </c>
      <c r="CS49" s="10" t="s">
        <v>123</v>
      </c>
      <c r="CT49" s="10" t="s">
        <v>432</v>
      </c>
      <c r="CU49" s="10" t="s">
        <v>123</v>
      </c>
      <c r="CV49" s="10">
        <v>45</v>
      </c>
    </row>
    <row r="50" spans="1:100" x14ac:dyDescent="0.25">
      <c r="A50" s="27">
        <v>44</v>
      </c>
      <c r="B50" s="21" t="s">
        <v>433</v>
      </c>
      <c r="C50" s="21" t="s">
        <v>635</v>
      </c>
      <c r="D50" s="22" t="s">
        <v>813</v>
      </c>
      <c r="E50" s="32" t="s">
        <v>434</v>
      </c>
      <c r="F50" s="25" t="s">
        <v>123</v>
      </c>
      <c r="G50" s="31" t="s">
        <v>435</v>
      </c>
      <c r="H50" s="31" t="s">
        <v>681</v>
      </c>
      <c r="I50" s="31" t="s">
        <v>114</v>
      </c>
      <c r="J50" s="31">
        <v>48009</v>
      </c>
      <c r="K50" s="10" t="s">
        <v>134</v>
      </c>
      <c r="L50" s="23" t="s">
        <v>436</v>
      </c>
      <c r="M50" s="11" t="s">
        <v>123</v>
      </c>
      <c r="N50" s="10" t="s">
        <v>437</v>
      </c>
      <c r="O50" s="10" t="s">
        <v>123</v>
      </c>
      <c r="P50" s="10" t="s">
        <v>123</v>
      </c>
      <c r="Q50" s="10" t="s">
        <v>123</v>
      </c>
      <c r="R50" s="10" t="s">
        <v>123</v>
      </c>
      <c r="S50" s="10">
        <v>20150831</v>
      </c>
      <c r="T50" s="10">
        <v>2</v>
      </c>
      <c r="U50" s="10" t="s">
        <v>120</v>
      </c>
      <c r="V50" s="10" t="s">
        <v>121</v>
      </c>
      <c r="W50" s="10" t="s">
        <v>122</v>
      </c>
      <c r="X50" s="10">
        <v>3000000</v>
      </c>
      <c r="Y50" s="10" t="str">
        <f t="shared" si="0"/>
        <v>2015</v>
      </c>
      <c r="Z50" s="10" t="str">
        <f t="shared" si="1"/>
        <v>0831</v>
      </c>
      <c r="AA50" s="10" t="str">
        <f t="shared" si="2"/>
        <v>08</v>
      </c>
      <c r="AB50" s="10" t="str">
        <f t="shared" si="3"/>
        <v>31</v>
      </c>
      <c r="AC50" s="10" t="str">
        <f t="shared" si="4"/>
        <v>2015-08-31</v>
      </c>
      <c r="AD50" s="10" t="s">
        <v>123</v>
      </c>
      <c r="AE50" s="10" t="s">
        <v>125</v>
      </c>
      <c r="AF50" s="10" t="s">
        <v>126</v>
      </c>
      <c r="AG50" s="10" t="s">
        <v>123</v>
      </c>
      <c r="AH50" s="10" t="s">
        <v>124</v>
      </c>
      <c r="AI50" s="10" t="s">
        <v>135</v>
      </c>
      <c r="AJ50" s="10" t="s">
        <v>123</v>
      </c>
      <c r="AK50" s="10">
        <v>5</v>
      </c>
      <c r="AL50" s="10">
        <v>0</v>
      </c>
      <c r="AM50" s="10">
        <v>0</v>
      </c>
      <c r="AN50" s="10" t="s">
        <v>124</v>
      </c>
      <c r="AO50" s="33">
        <v>0</v>
      </c>
      <c r="AP50" s="10" t="s">
        <v>123</v>
      </c>
      <c r="AQ50" s="10" t="s">
        <v>123</v>
      </c>
      <c r="AR50" s="10" t="s">
        <v>123</v>
      </c>
      <c r="AS50" s="10">
        <v>0</v>
      </c>
      <c r="AT50" s="10">
        <v>0</v>
      </c>
      <c r="AU50" s="33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20160813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 t="s">
        <v>123</v>
      </c>
      <c r="BI50" s="10" t="s">
        <v>123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 t="s">
        <v>124</v>
      </c>
      <c r="BP50" s="10" t="s">
        <v>128</v>
      </c>
      <c r="BQ50" s="10" t="s">
        <v>128</v>
      </c>
      <c r="BR50" s="10" t="s">
        <v>124</v>
      </c>
      <c r="BS50" s="10" t="s">
        <v>123</v>
      </c>
      <c r="BT50" s="10" t="s">
        <v>123</v>
      </c>
      <c r="BU50" s="10" t="s">
        <v>123</v>
      </c>
      <c r="BV50" s="10" t="s">
        <v>123</v>
      </c>
      <c r="BW50" s="10" t="s">
        <v>123</v>
      </c>
      <c r="BX50" s="10" t="s">
        <v>123</v>
      </c>
      <c r="BY50" s="10">
        <v>0</v>
      </c>
      <c r="BZ50" s="10" t="s">
        <v>123</v>
      </c>
      <c r="CA50" s="10" t="s">
        <v>123</v>
      </c>
      <c r="CB50" s="10">
        <v>0</v>
      </c>
      <c r="CC50" s="10" t="s">
        <v>123</v>
      </c>
      <c r="CD50" s="10">
        <v>69000000</v>
      </c>
      <c r="CE50" s="10" t="s">
        <v>123</v>
      </c>
      <c r="CF50" s="10" t="s">
        <v>123</v>
      </c>
      <c r="CG50" s="10" t="s">
        <v>123</v>
      </c>
      <c r="CH50" s="10">
        <v>26</v>
      </c>
      <c r="CI50" s="10" t="s">
        <v>129</v>
      </c>
      <c r="CJ50" s="10" t="s">
        <v>123</v>
      </c>
      <c r="CK50" s="10" t="s">
        <v>123</v>
      </c>
      <c r="CL50" s="10" t="s">
        <v>123</v>
      </c>
      <c r="CM50" s="10" t="s">
        <v>123</v>
      </c>
      <c r="CN50" s="10" t="s">
        <v>123</v>
      </c>
      <c r="CO50" s="10">
        <v>0</v>
      </c>
      <c r="CP50" s="10">
        <v>0</v>
      </c>
      <c r="CQ50" s="10">
        <v>0</v>
      </c>
      <c r="CR50" s="10" t="s">
        <v>123</v>
      </c>
      <c r="CS50" s="10" t="s">
        <v>123</v>
      </c>
      <c r="CT50" s="10" t="s">
        <v>438</v>
      </c>
      <c r="CU50" s="10" t="s">
        <v>123</v>
      </c>
      <c r="CV50" s="10">
        <v>44</v>
      </c>
    </row>
    <row r="51" spans="1:100" x14ac:dyDescent="0.25">
      <c r="A51" s="27">
        <v>27</v>
      </c>
      <c r="B51" s="21" t="s">
        <v>439</v>
      </c>
      <c r="C51" s="21" t="s">
        <v>636</v>
      </c>
      <c r="D51" s="22" t="s">
        <v>442</v>
      </c>
      <c r="E51" s="32" t="s">
        <v>440</v>
      </c>
      <c r="F51" s="25" t="s">
        <v>123</v>
      </c>
      <c r="G51" s="31" t="s">
        <v>441</v>
      </c>
      <c r="H51" s="31" t="s">
        <v>682</v>
      </c>
      <c r="I51" s="31" t="s">
        <v>114</v>
      </c>
      <c r="J51" s="31" t="s">
        <v>442</v>
      </c>
      <c r="K51" s="10" t="s">
        <v>134</v>
      </c>
      <c r="L51" s="23" t="s">
        <v>443</v>
      </c>
      <c r="M51" s="11" t="s">
        <v>123</v>
      </c>
      <c r="N51" s="10" t="s">
        <v>118</v>
      </c>
      <c r="O51" s="10" t="s">
        <v>123</v>
      </c>
      <c r="P51" s="10" t="s">
        <v>123</v>
      </c>
      <c r="Q51" s="10" t="s">
        <v>123</v>
      </c>
      <c r="R51" s="10" t="s">
        <v>123</v>
      </c>
      <c r="S51" s="10">
        <v>20000131</v>
      </c>
      <c r="T51" s="10">
        <v>2</v>
      </c>
      <c r="U51" s="10" t="s">
        <v>120</v>
      </c>
      <c r="V51" s="10" t="s">
        <v>121</v>
      </c>
      <c r="W51" s="10" t="s">
        <v>122</v>
      </c>
      <c r="X51" s="10">
        <v>600000</v>
      </c>
      <c r="Y51" s="10" t="str">
        <f t="shared" si="0"/>
        <v>2000</v>
      </c>
      <c r="Z51" s="10" t="str">
        <f t="shared" si="1"/>
        <v>0131</v>
      </c>
      <c r="AA51" s="10" t="str">
        <f t="shared" si="2"/>
        <v>01</v>
      </c>
      <c r="AB51" s="10" t="str">
        <f t="shared" si="3"/>
        <v>31</v>
      </c>
      <c r="AC51" s="10" t="str">
        <f t="shared" si="4"/>
        <v>2000-01-31</v>
      </c>
      <c r="AD51" s="10" t="s">
        <v>123</v>
      </c>
      <c r="AE51" s="10" t="s">
        <v>125</v>
      </c>
      <c r="AF51" s="10" t="s">
        <v>126</v>
      </c>
      <c r="AG51" s="10" t="s">
        <v>123</v>
      </c>
      <c r="AH51" s="10" t="s">
        <v>124</v>
      </c>
      <c r="AI51" s="10" t="s">
        <v>188</v>
      </c>
      <c r="AJ51" s="10" t="s">
        <v>123</v>
      </c>
      <c r="AK51" s="10">
        <v>30</v>
      </c>
      <c r="AL51" s="10">
        <v>0</v>
      </c>
      <c r="AM51" s="10">
        <v>0</v>
      </c>
      <c r="AN51" s="10" t="s">
        <v>124</v>
      </c>
      <c r="AO51" s="10" t="s">
        <v>223</v>
      </c>
      <c r="AP51" s="10" t="s">
        <v>123</v>
      </c>
      <c r="AQ51" s="10" t="s">
        <v>123</v>
      </c>
      <c r="AR51" s="10" t="s">
        <v>123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18397.21</v>
      </c>
      <c r="AZ51" s="10">
        <v>275307.3</v>
      </c>
      <c r="BA51" s="10">
        <v>20091026</v>
      </c>
      <c r="BB51" s="10">
        <v>-500</v>
      </c>
      <c r="BC51" s="10">
        <v>0</v>
      </c>
      <c r="BD51" s="10">
        <v>0</v>
      </c>
      <c r="BE51" s="10">
        <v>0</v>
      </c>
      <c r="BF51" s="10">
        <v>20090825</v>
      </c>
      <c r="BG51" s="10">
        <v>1938.6</v>
      </c>
      <c r="BH51" s="10" t="s">
        <v>123</v>
      </c>
      <c r="BI51" s="10" t="s">
        <v>123</v>
      </c>
      <c r="BJ51" s="10">
        <v>20110131</v>
      </c>
      <c r="BK51" s="10">
        <v>0</v>
      </c>
      <c r="BL51" s="10">
        <v>0</v>
      </c>
      <c r="BM51" s="10">
        <v>0</v>
      </c>
      <c r="BN51" s="10">
        <v>-0.01</v>
      </c>
      <c r="BO51" s="10" t="s">
        <v>128</v>
      </c>
      <c r="BP51" s="10" t="s">
        <v>128</v>
      </c>
      <c r="BQ51" s="10" t="s">
        <v>128</v>
      </c>
      <c r="BR51" s="10" t="s">
        <v>124</v>
      </c>
      <c r="BS51" s="10" t="s">
        <v>123</v>
      </c>
      <c r="BT51" s="10" t="s">
        <v>154</v>
      </c>
      <c r="BU51" s="10" t="s">
        <v>123</v>
      </c>
      <c r="BV51" s="10" t="s">
        <v>123</v>
      </c>
      <c r="BW51" s="10" t="s">
        <v>123</v>
      </c>
      <c r="BX51" s="10" t="s">
        <v>123</v>
      </c>
      <c r="BY51" s="10">
        <v>0</v>
      </c>
      <c r="BZ51" s="10" t="s">
        <v>123</v>
      </c>
      <c r="CA51" s="10" t="s">
        <v>123</v>
      </c>
      <c r="CB51" s="10">
        <v>0</v>
      </c>
      <c r="CC51" s="10" t="s">
        <v>123</v>
      </c>
      <c r="CD51" s="10">
        <v>69000000</v>
      </c>
      <c r="CE51" s="10" t="s">
        <v>123</v>
      </c>
      <c r="CF51" s="10" t="s">
        <v>123</v>
      </c>
      <c r="CG51" s="10">
        <v>14000774</v>
      </c>
      <c r="CH51" s="10">
        <v>20</v>
      </c>
      <c r="CI51" s="10" t="s">
        <v>129</v>
      </c>
      <c r="CJ51" s="10">
        <v>2.74</v>
      </c>
      <c r="CK51" s="10">
        <v>2.79</v>
      </c>
      <c r="CL51" s="10" t="s">
        <v>123</v>
      </c>
      <c r="CM51" s="10" t="s">
        <v>123</v>
      </c>
      <c r="CN51" s="10" t="s">
        <v>123</v>
      </c>
      <c r="CO51" s="10">
        <v>0</v>
      </c>
      <c r="CP51" s="10">
        <v>0</v>
      </c>
      <c r="CQ51" s="10">
        <v>-0.01</v>
      </c>
      <c r="CR51" s="10" t="s">
        <v>123</v>
      </c>
      <c r="CS51" s="10" t="s">
        <v>123</v>
      </c>
      <c r="CT51" s="10" t="s">
        <v>123</v>
      </c>
      <c r="CU51" s="10" t="s">
        <v>123</v>
      </c>
      <c r="CV51" s="10">
        <v>27</v>
      </c>
    </row>
    <row r="52" spans="1:100" x14ac:dyDescent="0.25">
      <c r="A52" s="27">
        <v>35</v>
      </c>
      <c r="B52" s="21" t="s">
        <v>444</v>
      </c>
      <c r="C52" s="21" t="s">
        <v>637</v>
      </c>
      <c r="D52" s="22" t="s">
        <v>804</v>
      </c>
      <c r="E52" s="32" t="s">
        <v>445</v>
      </c>
      <c r="F52" s="25" t="s">
        <v>446</v>
      </c>
      <c r="G52" s="31" t="s">
        <v>123</v>
      </c>
      <c r="H52" s="31" t="s">
        <v>123</v>
      </c>
      <c r="I52" s="31" t="s">
        <v>255</v>
      </c>
      <c r="J52" s="31">
        <v>78852</v>
      </c>
      <c r="K52" s="10" t="s">
        <v>134</v>
      </c>
      <c r="L52" s="23" t="s">
        <v>447</v>
      </c>
      <c r="M52" s="11" t="s">
        <v>123</v>
      </c>
      <c r="N52" s="10">
        <v>111528787830150</v>
      </c>
      <c r="O52" s="10" t="s">
        <v>123</v>
      </c>
      <c r="P52" s="10" t="s">
        <v>123</v>
      </c>
      <c r="Q52" s="10" t="s">
        <v>123</v>
      </c>
      <c r="R52" s="10" t="s">
        <v>123</v>
      </c>
      <c r="S52" s="10">
        <v>20050815</v>
      </c>
      <c r="T52" s="10">
        <v>2</v>
      </c>
      <c r="U52" s="10" t="s">
        <v>120</v>
      </c>
      <c r="V52" s="10" t="s">
        <v>121</v>
      </c>
      <c r="W52" s="10" t="s">
        <v>122</v>
      </c>
      <c r="X52" s="10" t="s">
        <v>123</v>
      </c>
      <c r="Y52" s="10" t="str">
        <f t="shared" si="0"/>
        <v>2005</v>
      </c>
      <c r="Z52" s="10" t="str">
        <f t="shared" si="1"/>
        <v>0815</v>
      </c>
      <c r="AA52" s="10" t="str">
        <f t="shared" si="2"/>
        <v>08</v>
      </c>
      <c r="AB52" s="10" t="str">
        <f t="shared" si="3"/>
        <v>15</v>
      </c>
      <c r="AC52" s="10" t="str">
        <f t="shared" si="4"/>
        <v>2005-08-15</v>
      </c>
      <c r="AD52" s="10" t="s">
        <v>123</v>
      </c>
      <c r="AE52" s="10" t="s">
        <v>123</v>
      </c>
      <c r="AF52" s="10" t="s">
        <v>126</v>
      </c>
      <c r="AG52" s="10" t="s">
        <v>123</v>
      </c>
      <c r="AH52" s="10" t="s">
        <v>124</v>
      </c>
      <c r="AI52" s="10" t="s">
        <v>135</v>
      </c>
      <c r="AJ52" s="10" t="s">
        <v>123</v>
      </c>
      <c r="AK52" s="10">
        <v>30</v>
      </c>
      <c r="AL52" s="10">
        <v>0</v>
      </c>
      <c r="AM52" s="10">
        <v>0</v>
      </c>
      <c r="AN52" s="10" t="s">
        <v>124</v>
      </c>
      <c r="AO52" s="33">
        <v>0</v>
      </c>
      <c r="AP52" s="10" t="s">
        <v>123</v>
      </c>
      <c r="AQ52" s="10" t="s">
        <v>123</v>
      </c>
      <c r="AR52" s="10" t="s">
        <v>123</v>
      </c>
      <c r="AS52" s="10">
        <v>0</v>
      </c>
      <c r="AT52" s="10">
        <v>0</v>
      </c>
      <c r="AU52" s="33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76308.22</v>
      </c>
      <c r="BA52" s="10">
        <v>20081209</v>
      </c>
      <c r="BB52" s="10">
        <v>-17802.02</v>
      </c>
      <c r="BC52" s="10">
        <v>0</v>
      </c>
      <c r="BD52" s="10">
        <v>0</v>
      </c>
      <c r="BE52" s="10">
        <v>0</v>
      </c>
      <c r="BF52" s="10">
        <v>20080903</v>
      </c>
      <c r="BG52" s="10">
        <v>1738.52</v>
      </c>
      <c r="BH52" s="10" t="s">
        <v>123</v>
      </c>
      <c r="BI52" s="10" t="s">
        <v>123</v>
      </c>
      <c r="BJ52" s="10">
        <v>20110131</v>
      </c>
      <c r="BK52" s="10">
        <v>0</v>
      </c>
      <c r="BL52" s="10">
        <v>0</v>
      </c>
      <c r="BM52" s="10">
        <v>0</v>
      </c>
      <c r="BN52" s="10">
        <v>0</v>
      </c>
      <c r="BO52" s="10" t="s">
        <v>124</v>
      </c>
      <c r="BP52" s="10" t="s">
        <v>128</v>
      </c>
      <c r="BQ52" s="10" t="s">
        <v>128</v>
      </c>
      <c r="BR52" s="10" t="s">
        <v>124</v>
      </c>
      <c r="BS52" s="10" t="s">
        <v>123</v>
      </c>
      <c r="BT52" s="10" t="s">
        <v>260</v>
      </c>
      <c r="BU52" s="10" t="s">
        <v>123</v>
      </c>
      <c r="BV52" s="10" t="s">
        <v>123</v>
      </c>
      <c r="BW52" s="10" t="s">
        <v>123</v>
      </c>
      <c r="BX52" s="10" t="s">
        <v>123</v>
      </c>
      <c r="BY52" s="10">
        <v>0</v>
      </c>
      <c r="BZ52" s="10" t="s">
        <v>123</v>
      </c>
      <c r="CA52" s="10" t="s">
        <v>123</v>
      </c>
      <c r="CB52" s="10">
        <v>0</v>
      </c>
      <c r="CC52" s="10" t="s">
        <v>123</v>
      </c>
      <c r="CD52" s="10">
        <v>65000000</v>
      </c>
      <c r="CE52" s="10" t="s">
        <v>123</v>
      </c>
      <c r="CF52" s="10" t="s">
        <v>123</v>
      </c>
      <c r="CG52" s="10" t="s">
        <v>123</v>
      </c>
      <c r="CH52" s="10">
        <v>26</v>
      </c>
      <c r="CI52" s="10" t="s">
        <v>448</v>
      </c>
      <c r="CJ52" s="10" t="s">
        <v>123</v>
      </c>
      <c r="CK52" s="10" t="s">
        <v>123</v>
      </c>
      <c r="CL52" s="10" t="s">
        <v>123</v>
      </c>
      <c r="CM52" s="10" t="s">
        <v>123</v>
      </c>
      <c r="CN52" s="10" t="s">
        <v>123</v>
      </c>
      <c r="CO52" s="10">
        <v>0</v>
      </c>
      <c r="CP52" s="10">
        <v>0</v>
      </c>
      <c r="CQ52" s="10">
        <v>0</v>
      </c>
      <c r="CR52" s="10" t="s">
        <v>123</v>
      </c>
      <c r="CS52" s="10" t="s">
        <v>123</v>
      </c>
      <c r="CT52" s="10" t="s">
        <v>123</v>
      </c>
      <c r="CU52" s="10" t="s">
        <v>123</v>
      </c>
      <c r="CV52" s="10">
        <v>35</v>
      </c>
    </row>
    <row r="53" spans="1:100" x14ac:dyDescent="0.25">
      <c r="A53" s="27">
        <v>28</v>
      </c>
      <c r="B53" s="21" t="s">
        <v>449</v>
      </c>
      <c r="C53" s="21" t="s">
        <v>638</v>
      </c>
      <c r="D53" s="22" t="s">
        <v>452</v>
      </c>
      <c r="E53" s="32" t="s">
        <v>450</v>
      </c>
      <c r="F53" s="25" t="s">
        <v>123</v>
      </c>
      <c r="G53" s="31" t="s">
        <v>451</v>
      </c>
      <c r="H53" s="31" t="s">
        <v>683</v>
      </c>
      <c r="I53" s="31" t="s">
        <v>114</v>
      </c>
      <c r="J53" s="31" t="s">
        <v>452</v>
      </c>
      <c r="K53" s="10" t="s">
        <v>134</v>
      </c>
      <c r="L53" s="23" t="s">
        <v>453</v>
      </c>
      <c r="M53" s="11" t="s">
        <v>123</v>
      </c>
      <c r="N53" s="10" t="s">
        <v>454</v>
      </c>
      <c r="O53" s="10" t="s">
        <v>123</v>
      </c>
      <c r="P53" s="10" t="s">
        <v>123</v>
      </c>
      <c r="Q53" s="10" t="s">
        <v>123</v>
      </c>
      <c r="R53" s="10" t="s">
        <v>455</v>
      </c>
      <c r="S53" s="10">
        <v>20000125</v>
      </c>
      <c r="T53" s="10">
        <v>2</v>
      </c>
      <c r="U53" s="10" t="s">
        <v>120</v>
      </c>
      <c r="V53" s="10" t="s">
        <v>121</v>
      </c>
      <c r="W53" s="10" t="s">
        <v>122</v>
      </c>
      <c r="X53" s="10">
        <v>100000</v>
      </c>
      <c r="Y53" s="10" t="str">
        <f t="shared" si="0"/>
        <v>2000</v>
      </c>
      <c r="Z53" s="10" t="str">
        <f t="shared" si="1"/>
        <v>0125</v>
      </c>
      <c r="AA53" s="10" t="str">
        <f t="shared" si="2"/>
        <v>01</v>
      </c>
      <c r="AB53" s="10" t="str">
        <f t="shared" si="3"/>
        <v>25</v>
      </c>
      <c r="AC53" s="10" t="str">
        <f t="shared" si="4"/>
        <v>2000-01-25</v>
      </c>
      <c r="AD53" s="10" t="s">
        <v>123</v>
      </c>
      <c r="AE53" s="10" t="s">
        <v>153</v>
      </c>
      <c r="AF53" s="10" t="s">
        <v>126</v>
      </c>
      <c r="AG53" s="10" t="s">
        <v>123</v>
      </c>
      <c r="AH53" s="10" t="s">
        <v>124</v>
      </c>
      <c r="AI53" s="10" t="s">
        <v>188</v>
      </c>
      <c r="AJ53" s="10" t="s">
        <v>123</v>
      </c>
      <c r="AK53" s="10">
        <v>30</v>
      </c>
      <c r="AL53" s="10">
        <v>0</v>
      </c>
      <c r="AM53" s="10">
        <v>0</v>
      </c>
      <c r="AN53" s="10" t="s">
        <v>124</v>
      </c>
      <c r="AO53" s="10" t="s">
        <v>223</v>
      </c>
      <c r="AP53" s="10" t="s">
        <v>123</v>
      </c>
      <c r="AQ53" s="10" t="s">
        <v>123</v>
      </c>
      <c r="AR53" s="10" t="s">
        <v>123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274765.24</v>
      </c>
      <c r="BA53" s="10">
        <v>20070130</v>
      </c>
      <c r="BB53" s="10">
        <v>-5456</v>
      </c>
      <c r="BC53" s="10">
        <v>0</v>
      </c>
      <c r="BD53" s="10">
        <v>0</v>
      </c>
      <c r="BE53" s="10">
        <v>0</v>
      </c>
      <c r="BF53" s="10">
        <v>20040201</v>
      </c>
      <c r="BG53" s="10">
        <v>3300</v>
      </c>
      <c r="BH53" s="10" t="s">
        <v>123</v>
      </c>
      <c r="BI53" s="10" t="s">
        <v>123</v>
      </c>
      <c r="BJ53" s="10">
        <v>20110131</v>
      </c>
      <c r="BK53" s="10">
        <v>0</v>
      </c>
      <c r="BL53" s="10">
        <v>0</v>
      </c>
      <c r="BM53" s="10">
        <v>0</v>
      </c>
      <c r="BN53" s="10">
        <v>0</v>
      </c>
      <c r="BO53" s="10" t="s">
        <v>124</v>
      </c>
      <c r="BP53" s="10" t="s">
        <v>128</v>
      </c>
      <c r="BQ53" s="10" t="s">
        <v>128</v>
      </c>
      <c r="BR53" s="10" t="s">
        <v>124</v>
      </c>
      <c r="BS53" s="10" t="s">
        <v>123</v>
      </c>
      <c r="BT53" s="10" t="s">
        <v>154</v>
      </c>
      <c r="BU53" s="10" t="s">
        <v>123</v>
      </c>
      <c r="BV53" s="10" t="s">
        <v>123</v>
      </c>
      <c r="BW53" s="10" t="s">
        <v>123</v>
      </c>
      <c r="BX53" s="10" t="s">
        <v>123</v>
      </c>
      <c r="BY53" s="10">
        <v>0</v>
      </c>
      <c r="BZ53" s="10" t="s">
        <v>123</v>
      </c>
      <c r="CA53" s="10" t="s">
        <v>123</v>
      </c>
      <c r="CB53" s="10">
        <v>0</v>
      </c>
      <c r="CC53" s="10" t="s">
        <v>123</v>
      </c>
      <c r="CD53" s="10">
        <v>70000000</v>
      </c>
      <c r="CE53" s="10" t="s">
        <v>123</v>
      </c>
      <c r="CF53" s="10" t="s">
        <v>123</v>
      </c>
      <c r="CG53" s="10">
        <v>10594456</v>
      </c>
      <c r="CH53" s="10">
        <v>20</v>
      </c>
      <c r="CI53" s="10" t="s">
        <v>129</v>
      </c>
      <c r="CJ53" s="10">
        <v>3.07</v>
      </c>
      <c r="CK53" s="10" t="s">
        <v>123</v>
      </c>
      <c r="CL53" s="10">
        <v>3.03</v>
      </c>
      <c r="CM53" s="10" t="s">
        <v>123</v>
      </c>
      <c r="CN53" s="10" t="s">
        <v>123</v>
      </c>
      <c r="CO53" s="10">
        <v>0</v>
      </c>
      <c r="CP53" s="10">
        <v>0</v>
      </c>
      <c r="CQ53" s="10">
        <v>0</v>
      </c>
      <c r="CR53" s="10" t="s">
        <v>456</v>
      </c>
      <c r="CS53" s="10" t="s">
        <v>123</v>
      </c>
      <c r="CT53" s="10" t="s">
        <v>123</v>
      </c>
      <c r="CU53" s="10" t="s">
        <v>123</v>
      </c>
      <c r="CV53" s="10">
        <v>28</v>
      </c>
    </row>
    <row r="54" spans="1:100" x14ac:dyDescent="0.25">
      <c r="A54" s="27">
        <v>50</v>
      </c>
      <c r="B54" s="21" t="s">
        <v>457</v>
      </c>
      <c r="C54" s="21" t="s">
        <v>639</v>
      </c>
      <c r="D54" s="22" t="s">
        <v>814</v>
      </c>
      <c r="E54" s="32" t="s">
        <v>458</v>
      </c>
      <c r="F54" s="25" t="s">
        <v>459</v>
      </c>
      <c r="G54" s="31" t="s">
        <v>273</v>
      </c>
      <c r="H54" s="31" t="s">
        <v>13</v>
      </c>
      <c r="I54" s="31" t="s">
        <v>162</v>
      </c>
      <c r="J54" s="31">
        <v>32000</v>
      </c>
      <c r="K54" s="10" t="s">
        <v>194</v>
      </c>
      <c r="L54" s="23" t="s">
        <v>460</v>
      </c>
      <c r="M54" s="11" t="s">
        <v>123</v>
      </c>
      <c r="N54" s="10">
        <v>6564011973</v>
      </c>
      <c r="O54" s="10" t="s">
        <v>123</v>
      </c>
      <c r="P54" s="10" t="s">
        <v>123</v>
      </c>
      <c r="Q54" s="10" t="s">
        <v>123</v>
      </c>
      <c r="R54" s="10" t="s">
        <v>123</v>
      </c>
      <c r="S54" s="10">
        <v>20190319</v>
      </c>
      <c r="T54" s="10">
        <v>2</v>
      </c>
      <c r="U54" s="10" t="s">
        <v>250</v>
      </c>
      <c r="V54" s="10" t="s">
        <v>121</v>
      </c>
      <c r="W54" s="10" t="s">
        <v>122</v>
      </c>
      <c r="X54" s="10" t="s">
        <v>123</v>
      </c>
      <c r="Y54" s="10" t="str">
        <f t="shared" si="0"/>
        <v>2019</v>
      </c>
      <c r="Z54" s="10" t="str">
        <f t="shared" si="1"/>
        <v>0319</v>
      </c>
      <c r="AA54" s="10" t="str">
        <f t="shared" si="2"/>
        <v>03</v>
      </c>
      <c r="AB54" s="10" t="str">
        <f t="shared" si="3"/>
        <v>19</v>
      </c>
      <c r="AC54" s="10" t="str">
        <f t="shared" si="4"/>
        <v>2019-03-19</v>
      </c>
      <c r="AD54" s="10" t="s">
        <v>123</v>
      </c>
      <c r="AE54" s="10" t="s">
        <v>123</v>
      </c>
      <c r="AF54" s="10" t="s">
        <v>126</v>
      </c>
      <c r="AG54" s="10" t="s">
        <v>123</v>
      </c>
      <c r="AH54" s="10" t="s">
        <v>124</v>
      </c>
      <c r="AI54" s="10" t="s">
        <v>135</v>
      </c>
      <c r="AJ54" s="10" t="s">
        <v>123</v>
      </c>
      <c r="AK54" s="10" t="s">
        <v>145</v>
      </c>
      <c r="AL54" s="10">
        <v>0</v>
      </c>
      <c r="AM54" s="10">
        <v>0</v>
      </c>
      <c r="AN54" s="10" t="s">
        <v>124</v>
      </c>
      <c r="AO54" s="33">
        <v>0</v>
      </c>
      <c r="AP54" s="10" t="s">
        <v>123</v>
      </c>
      <c r="AQ54" s="10" t="s">
        <v>123</v>
      </c>
      <c r="AR54" s="10" t="s">
        <v>123</v>
      </c>
      <c r="AS54" s="10">
        <v>0</v>
      </c>
      <c r="AT54" s="10">
        <v>0</v>
      </c>
      <c r="AU54" s="33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 t="s">
        <v>123</v>
      </c>
      <c r="BI54" s="10" t="s">
        <v>123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 t="s">
        <v>124</v>
      </c>
      <c r="BP54" s="10" t="s">
        <v>128</v>
      </c>
      <c r="BQ54" s="10" t="s">
        <v>128</v>
      </c>
      <c r="BR54" s="10" t="s">
        <v>124</v>
      </c>
      <c r="BS54" s="10" t="s">
        <v>123</v>
      </c>
      <c r="BT54" s="10" t="s">
        <v>123</v>
      </c>
      <c r="BU54" s="10" t="s">
        <v>123</v>
      </c>
      <c r="BV54" s="10" t="s">
        <v>123</v>
      </c>
      <c r="BW54" s="10" t="s">
        <v>123</v>
      </c>
      <c r="BX54" s="10" t="s">
        <v>123</v>
      </c>
      <c r="BY54" s="10">
        <v>0</v>
      </c>
      <c r="BZ54" s="10" t="s">
        <v>123</v>
      </c>
      <c r="CA54" s="10" t="s">
        <v>123</v>
      </c>
      <c r="CB54" s="10">
        <v>0</v>
      </c>
      <c r="CC54" s="10" t="s">
        <v>123</v>
      </c>
      <c r="CD54" s="10">
        <v>69000000</v>
      </c>
      <c r="CE54" s="10" t="s">
        <v>123</v>
      </c>
      <c r="CF54" s="10" t="s">
        <v>123</v>
      </c>
      <c r="CG54" s="10" t="s">
        <v>123</v>
      </c>
      <c r="CH54" s="10">
        <v>26</v>
      </c>
      <c r="CI54" s="10" t="s">
        <v>461</v>
      </c>
      <c r="CJ54" s="10" t="s">
        <v>123</v>
      </c>
      <c r="CK54" s="10" t="s">
        <v>123</v>
      </c>
      <c r="CL54" s="10" t="s">
        <v>123</v>
      </c>
      <c r="CM54" s="10" t="s">
        <v>123</v>
      </c>
      <c r="CN54" s="10" t="s">
        <v>123</v>
      </c>
      <c r="CO54" s="10">
        <v>0</v>
      </c>
      <c r="CP54" s="10">
        <v>0</v>
      </c>
      <c r="CQ54" s="10">
        <v>0</v>
      </c>
      <c r="CR54" s="10" t="s">
        <v>123</v>
      </c>
      <c r="CS54" s="10" t="s">
        <v>123</v>
      </c>
      <c r="CT54" s="10" t="s">
        <v>123</v>
      </c>
      <c r="CU54" s="10" t="s">
        <v>123</v>
      </c>
      <c r="CV54" s="10">
        <v>50</v>
      </c>
    </row>
    <row r="55" spans="1:100" x14ac:dyDescent="0.25">
      <c r="A55" s="27">
        <v>31</v>
      </c>
      <c r="B55" s="21" t="s">
        <v>462</v>
      </c>
      <c r="C55" s="21" t="s">
        <v>640</v>
      </c>
      <c r="D55" s="22" t="s">
        <v>465</v>
      </c>
      <c r="E55" s="32" t="s">
        <v>463</v>
      </c>
      <c r="F55" s="25" t="s">
        <v>123</v>
      </c>
      <c r="G55" s="31" t="s">
        <v>464</v>
      </c>
      <c r="H55" s="31" t="s">
        <v>684</v>
      </c>
      <c r="I55" s="31" t="s">
        <v>114</v>
      </c>
      <c r="J55" s="31" t="s">
        <v>465</v>
      </c>
      <c r="K55" s="10" t="s">
        <v>134</v>
      </c>
      <c r="L55" s="23" t="s">
        <v>123</v>
      </c>
      <c r="M55" s="11" t="s">
        <v>123</v>
      </c>
      <c r="N55" s="10" t="s">
        <v>118</v>
      </c>
      <c r="O55" s="10" t="s">
        <v>123</v>
      </c>
      <c r="P55" s="10" t="s">
        <v>123</v>
      </c>
      <c r="Q55" s="10" t="s">
        <v>123</v>
      </c>
      <c r="R55" s="10" t="s">
        <v>123</v>
      </c>
      <c r="S55" s="10">
        <v>20011118</v>
      </c>
      <c r="T55" s="10">
        <v>2</v>
      </c>
      <c r="U55" s="10" t="s">
        <v>250</v>
      </c>
      <c r="V55" s="10" t="s">
        <v>121</v>
      </c>
      <c r="W55" s="10" t="s">
        <v>122</v>
      </c>
      <c r="X55" s="10">
        <v>20000</v>
      </c>
      <c r="Y55" s="10" t="str">
        <f t="shared" si="0"/>
        <v>2001</v>
      </c>
      <c r="Z55" s="10" t="str">
        <f t="shared" si="1"/>
        <v>1118</v>
      </c>
      <c r="AA55" s="10" t="str">
        <f t="shared" si="2"/>
        <v>11</v>
      </c>
      <c r="AB55" s="10" t="str">
        <f t="shared" si="3"/>
        <v>18</v>
      </c>
      <c r="AC55" s="10" t="str">
        <f t="shared" si="4"/>
        <v>2001-11-18</v>
      </c>
      <c r="AD55" s="10" t="s">
        <v>123</v>
      </c>
      <c r="AE55" s="10" t="s">
        <v>123</v>
      </c>
      <c r="AF55" s="10" t="s">
        <v>126</v>
      </c>
      <c r="AG55" s="10" t="s">
        <v>123</v>
      </c>
      <c r="AH55" s="10" t="s">
        <v>124</v>
      </c>
      <c r="AI55" s="10" t="s">
        <v>135</v>
      </c>
      <c r="AJ55" s="10" t="s">
        <v>123</v>
      </c>
      <c r="AK55" s="10">
        <v>15</v>
      </c>
      <c r="AL55" s="10">
        <v>0</v>
      </c>
      <c r="AM55" s="10">
        <v>0</v>
      </c>
      <c r="AN55" s="10" t="s">
        <v>124</v>
      </c>
      <c r="AO55" s="33">
        <v>0</v>
      </c>
      <c r="AP55" s="10" t="s">
        <v>123</v>
      </c>
      <c r="AQ55" s="10" t="s">
        <v>123</v>
      </c>
      <c r="AR55" s="10" t="s">
        <v>123</v>
      </c>
      <c r="AS55" s="10">
        <v>0</v>
      </c>
      <c r="AT55" s="10">
        <v>0</v>
      </c>
      <c r="AU55" s="33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1485</v>
      </c>
      <c r="BA55" s="10">
        <v>20021120</v>
      </c>
      <c r="BB55" s="10">
        <v>660</v>
      </c>
      <c r="BC55" s="10">
        <v>0</v>
      </c>
      <c r="BD55" s="10">
        <v>0</v>
      </c>
      <c r="BE55" s="10">
        <v>0</v>
      </c>
      <c r="BF55" s="10">
        <v>20030121</v>
      </c>
      <c r="BG55" s="10">
        <v>660</v>
      </c>
      <c r="BH55" s="10" t="s">
        <v>123</v>
      </c>
      <c r="BI55" s="10" t="s">
        <v>123</v>
      </c>
      <c r="BJ55" s="10">
        <v>20110131</v>
      </c>
      <c r="BK55" s="10">
        <v>0</v>
      </c>
      <c r="BL55" s="10">
        <v>0</v>
      </c>
      <c r="BM55" s="10">
        <v>0</v>
      </c>
      <c r="BN55" s="10">
        <v>0</v>
      </c>
      <c r="BO55" s="10" t="s">
        <v>124</v>
      </c>
      <c r="BP55" s="10" t="s">
        <v>128</v>
      </c>
      <c r="BQ55" s="10" t="s">
        <v>128</v>
      </c>
      <c r="BR55" s="10" t="s">
        <v>124</v>
      </c>
      <c r="BS55" s="10" t="s">
        <v>123</v>
      </c>
      <c r="BT55" s="10" t="s">
        <v>173</v>
      </c>
      <c r="BU55" s="10" t="s">
        <v>123</v>
      </c>
      <c r="BV55" s="10" t="s">
        <v>123</v>
      </c>
      <c r="BW55" s="10" t="s">
        <v>123</v>
      </c>
      <c r="BX55" s="10" t="s">
        <v>123</v>
      </c>
      <c r="BY55" s="10">
        <v>0</v>
      </c>
      <c r="BZ55" s="10" t="s">
        <v>123</v>
      </c>
      <c r="CA55" s="10" t="s">
        <v>123</v>
      </c>
      <c r="CB55" s="10">
        <v>0</v>
      </c>
      <c r="CC55" s="10" t="s">
        <v>123</v>
      </c>
      <c r="CD55" s="10">
        <v>0</v>
      </c>
      <c r="CE55" s="10" t="s">
        <v>123</v>
      </c>
      <c r="CF55" s="10" t="s">
        <v>123</v>
      </c>
      <c r="CG55" s="10" t="s">
        <v>123</v>
      </c>
      <c r="CH55" s="10">
        <v>26</v>
      </c>
      <c r="CI55" s="10" t="s">
        <v>129</v>
      </c>
      <c r="CJ55" s="10" t="s">
        <v>123</v>
      </c>
      <c r="CK55" s="10" t="s">
        <v>123</v>
      </c>
      <c r="CL55" s="10" t="s">
        <v>123</v>
      </c>
      <c r="CM55" s="10" t="s">
        <v>123</v>
      </c>
      <c r="CN55" s="10" t="s">
        <v>123</v>
      </c>
      <c r="CO55" s="10">
        <v>0</v>
      </c>
      <c r="CP55" s="10">
        <v>0</v>
      </c>
      <c r="CQ55" s="10">
        <v>0</v>
      </c>
      <c r="CR55" s="10" t="s">
        <v>123</v>
      </c>
      <c r="CS55" s="10" t="s">
        <v>123</v>
      </c>
      <c r="CT55" s="10" t="s">
        <v>123</v>
      </c>
      <c r="CU55" s="10" t="s">
        <v>123</v>
      </c>
      <c r="CV55" s="10">
        <v>31</v>
      </c>
    </row>
    <row r="56" spans="1:100" x14ac:dyDescent="0.25">
      <c r="A56" s="27">
        <v>36</v>
      </c>
      <c r="B56" s="21" t="s">
        <v>466</v>
      </c>
      <c r="C56" s="21" t="s">
        <v>641</v>
      </c>
      <c r="D56" s="22" t="s">
        <v>815</v>
      </c>
      <c r="E56" s="32" t="s">
        <v>467</v>
      </c>
      <c r="F56" s="25" t="s">
        <v>468</v>
      </c>
      <c r="G56" s="31" t="s">
        <v>469</v>
      </c>
      <c r="H56" s="31" t="s">
        <v>685</v>
      </c>
      <c r="I56" s="31" t="s">
        <v>470</v>
      </c>
      <c r="J56" s="31">
        <v>25900</v>
      </c>
      <c r="K56" s="10" t="s">
        <v>179</v>
      </c>
      <c r="L56" s="23" t="s">
        <v>471</v>
      </c>
      <c r="M56" s="11" t="s">
        <v>117</v>
      </c>
      <c r="N56" s="10" t="s">
        <v>472</v>
      </c>
      <c r="O56" s="10" t="s">
        <v>118</v>
      </c>
      <c r="P56" s="10" t="s">
        <v>119</v>
      </c>
      <c r="Q56" s="10" t="s">
        <v>119</v>
      </c>
      <c r="R56" s="10" t="s">
        <v>473</v>
      </c>
      <c r="S56" s="10">
        <v>20060130</v>
      </c>
      <c r="T56" s="10">
        <v>2</v>
      </c>
      <c r="U56" s="10" t="s">
        <v>250</v>
      </c>
      <c r="V56" s="10" t="s">
        <v>121</v>
      </c>
      <c r="W56" s="10" t="s">
        <v>122</v>
      </c>
      <c r="X56" s="10">
        <v>10000</v>
      </c>
      <c r="Y56" s="10" t="str">
        <f t="shared" si="0"/>
        <v>2006</v>
      </c>
      <c r="Z56" s="10" t="str">
        <f t="shared" si="1"/>
        <v>0130</v>
      </c>
      <c r="AA56" s="10" t="str">
        <f t="shared" si="2"/>
        <v>01</v>
      </c>
      <c r="AB56" s="10" t="str">
        <f t="shared" si="3"/>
        <v>30</v>
      </c>
      <c r="AC56" s="10" t="str">
        <f t="shared" si="4"/>
        <v>2006-01-30</v>
      </c>
      <c r="AD56" s="10" t="s">
        <v>123</v>
      </c>
      <c r="AE56" s="10" t="s">
        <v>123</v>
      </c>
      <c r="AF56" s="10" t="s">
        <v>126</v>
      </c>
      <c r="AG56" s="10" t="s">
        <v>123</v>
      </c>
      <c r="AH56" s="10" t="s">
        <v>124</v>
      </c>
      <c r="AI56" s="10" t="s">
        <v>135</v>
      </c>
      <c r="AJ56" s="10" t="s">
        <v>123</v>
      </c>
      <c r="AK56" s="10">
        <v>10</v>
      </c>
      <c r="AL56" s="10">
        <v>0</v>
      </c>
      <c r="AM56" s="10">
        <v>0</v>
      </c>
      <c r="AN56" s="10" t="s">
        <v>124</v>
      </c>
      <c r="AO56" s="33">
        <v>0</v>
      </c>
      <c r="AP56" s="10" t="s">
        <v>123</v>
      </c>
      <c r="AQ56" s="10" t="s">
        <v>123</v>
      </c>
      <c r="AR56" s="10" t="s">
        <v>123</v>
      </c>
      <c r="AS56" s="10">
        <v>0</v>
      </c>
      <c r="AT56" s="10">
        <v>0</v>
      </c>
      <c r="AU56" s="33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7588.94</v>
      </c>
      <c r="BA56" s="10">
        <v>20060425</v>
      </c>
      <c r="BB56" s="10">
        <v>6599.95</v>
      </c>
      <c r="BC56" s="10">
        <v>0</v>
      </c>
      <c r="BD56" s="10">
        <v>0</v>
      </c>
      <c r="BE56" s="10">
        <v>0</v>
      </c>
      <c r="BF56" s="10">
        <v>20060815</v>
      </c>
      <c r="BG56" s="10">
        <v>6598.94</v>
      </c>
      <c r="BH56" s="10" t="s">
        <v>123</v>
      </c>
      <c r="BI56" s="10" t="s">
        <v>123</v>
      </c>
      <c r="BJ56" s="10">
        <v>20110131</v>
      </c>
      <c r="BK56" s="10">
        <v>0</v>
      </c>
      <c r="BL56" s="10">
        <v>0</v>
      </c>
      <c r="BM56" s="10">
        <v>0</v>
      </c>
      <c r="BN56" s="10">
        <v>0</v>
      </c>
      <c r="BO56" s="10" t="s">
        <v>124</v>
      </c>
      <c r="BP56" s="10" t="s">
        <v>128</v>
      </c>
      <c r="BQ56" s="10" t="s">
        <v>128</v>
      </c>
      <c r="BR56" s="10" t="s">
        <v>124</v>
      </c>
      <c r="BS56" s="10" t="s">
        <v>123</v>
      </c>
      <c r="BT56" s="10" t="s">
        <v>260</v>
      </c>
      <c r="BU56" s="10" t="s">
        <v>123</v>
      </c>
      <c r="BV56" s="10" t="s">
        <v>123</v>
      </c>
      <c r="BW56" s="10" t="s">
        <v>123</v>
      </c>
      <c r="BX56" s="10" t="s">
        <v>123</v>
      </c>
      <c r="BY56" s="10">
        <v>0</v>
      </c>
      <c r="BZ56" s="10" t="s">
        <v>123</v>
      </c>
      <c r="CA56" s="10" t="s">
        <v>123</v>
      </c>
      <c r="CB56" s="10">
        <v>0</v>
      </c>
      <c r="CC56" s="10" t="s">
        <v>123</v>
      </c>
      <c r="CD56" s="10">
        <v>0</v>
      </c>
      <c r="CE56" s="10" t="s">
        <v>123</v>
      </c>
      <c r="CF56" s="10" t="s">
        <v>123</v>
      </c>
      <c r="CG56" s="10" t="s">
        <v>123</v>
      </c>
      <c r="CH56" s="10">
        <v>26</v>
      </c>
      <c r="CI56" s="10" t="s">
        <v>261</v>
      </c>
      <c r="CJ56" s="10" t="s">
        <v>123</v>
      </c>
      <c r="CK56" s="10" t="s">
        <v>123</v>
      </c>
      <c r="CL56" s="10" t="s">
        <v>123</v>
      </c>
      <c r="CM56" s="10" t="s">
        <v>123</v>
      </c>
      <c r="CN56" s="10" t="s">
        <v>123</v>
      </c>
      <c r="CO56" s="10">
        <v>0</v>
      </c>
      <c r="CP56" s="10">
        <v>0</v>
      </c>
      <c r="CQ56" s="10">
        <v>0</v>
      </c>
      <c r="CR56" s="10" t="s">
        <v>123</v>
      </c>
      <c r="CS56" s="10" t="s">
        <v>123</v>
      </c>
      <c r="CT56" s="10" t="s">
        <v>117</v>
      </c>
      <c r="CU56" s="10" t="s">
        <v>123</v>
      </c>
      <c r="CV56" s="10">
        <v>36</v>
      </c>
    </row>
    <row r="57" spans="1:100" x14ac:dyDescent="0.25">
      <c r="A57" s="27">
        <v>55</v>
      </c>
      <c r="B57" s="21" t="s">
        <v>474</v>
      </c>
      <c r="C57" s="21" t="s">
        <v>642</v>
      </c>
      <c r="D57" s="22" t="s">
        <v>816</v>
      </c>
      <c r="E57" s="32" t="s">
        <v>475</v>
      </c>
      <c r="F57" s="25" t="s">
        <v>476</v>
      </c>
      <c r="G57" s="31" t="s">
        <v>477</v>
      </c>
      <c r="H57" s="31" t="s">
        <v>686</v>
      </c>
      <c r="I57" s="31" t="s">
        <v>114</v>
      </c>
      <c r="J57" s="31">
        <v>48895</v>
      </c>
      <c r="K57" s="10" t="s">
        <v>242</v>
      </c>
      <c r="L57" s="23" t="s">
        <v>117</v>
      </c>
      <c r="M57" s="11" t="s">
        <v>117</v>
      </c>
      <c r="N57" s="10" t="s">
        <v>118</v>
      </c>
      <c r="O57" s="10" t="s">
        <v>118</v>
      </c>
      <c r="P57" s="10" t="s">
        <v>119</v>
      </c>
      <c r="Q57" s="10" t="s">
        <v>119</v>
      </c>
      <c r="R57" s="10" t="s">
        <v>118</v>
      </c>
      <c r="S57" s="10">
        <v>20191204</v>
      </c>
      <c r="T57" s="10">
        <v>2</v>
      </c>
      <c r="U57" s="10" t="s">
        <v>120</v>
      </c>
      <c r="V57" s="10" t="s">
        <v>121</v>
      </c>
      <c r="W57" s="10" t="s">
        <v>122</v>
      </c>
      <c r="X57" s="10">
        <v>3000000</v>
      </c>
      <c r="Y57" s="10" t="str">
        <f t="shared" si="0"/>
        <v>2019</v>
      </c>
      <c r="Z57" s="10" t="str">
        <f t="shared" si="1"/>
        <v>1204</v>
      </c>
      <c r="AA57" s="10" t="str">
        <f t="shared" si="2"/>
        <v>12</v>
      </c>
      <c r="AB57" s="10" t="str">
        <f t="shared" si="3"/>
        <v>04</v>
      </c>
      <c r="AC57" s="10" t="str">
        <f t="shared" si="4"/>
        <v>2019-12-04</v>
      </c>
      <c r="AD57" s="10" t="s">
        <v>123</v>
      </c>
      <c r="AE57" s="10" t="s">
        <v>125</v>
      </c>
      <c r="AF57" s="10" t="s">
        <v>126</v>
      </c>
      <c r="AG57" s="10" t="s">
        <v>123</v>
      </c>
      <c r="AH57" s="10" t="s">
        <v>124</v>
      </c>
      <c r="AI57" s="10" t="s">
        <v>135</v>
      </c>
      <c r="AJ57" s="10" t="s">
        <v>123</v>
      </c>
      <c r="AK57" s="10">
        <v>45</v>
      </c>
      <c r="AL57" s="10">
        <v>0</v>
      </c>
      <c r="AM57" s="10">
        <v>0</v>
      </c>
      <c r="AN57" s="10" t="s">
        <v>124</v>
      </c>
      <c r="AO57" s="33">
        <v>0</v>
      </c>
      <c r="AP57" s="10" t="s">
        <v>123</v>
      </c>
      <c r="AQ57" s="10" t="s">
        <v>123</v>
      </c>
      <c r="AR57" s="10" t="s">
        <v>123</v>
      </c>
      <c r="AS57" s="10">
        <v>0</v>
      </c>
      <c r="AT57" s="10">
        <v>0</v>
      </c>
      <c r="AU57" s="33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 t="s">
        <v>123</v>
      </c>
      <c r="BI57" s="10" t="s">
        <v>123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 t="s">
        <v>124</v>
      </c>
      <c r="BP57" s="10" t="s">
        <v>128</v>
      </c>
      <c r="BQ57" s="10" t="s">
        <v>128</v>
      </c>
      <c r="BR57" s="10" t="s">
        <v>124</v>
      </c>
      <c r="BS57" s="10" t="s">
        <v>123</v>
      </c>
      <c r="BT57" s="10" t="s">
        <v>123</v>
      </c>
      <c r="BU57" s="10" t="s">
        <v>123</v>
      </c>
      <c r="BV57" s="10" t="s">
        <v>123</v>
      </c>
      <c r="BW57" s="10" t="s">
        <v>123</v>
      </c>
      <c r="BX57" s="10" t="s">
        <v>123</v>
      </c>
      <c r="BY57" s="10">
        <v>0</v>
      </c>
      <c r="BZ57" s="10" t="s">
        <v>123</v>
      </c>
      <c r="CA57" s="10" t="s">
        <v>123</v>
      </c>
      <c r="CB57" s="10">
        <v>0</v>
      </c>
      <c r="CC57" s="10" t="s">
        <v>123</v>
      </c>
      <c r="CD57" s="10">
        <v>69000000</v>
      </c>
      <c r="CE57" s="10" t="s">
        <v>123</v>
      </c>
      <c r="CF57" s="10" t="s">
        <v>123</v>
      </c>
      <c r="CG57" s="10" t="s">
        <v>123</v>
      </c>
      <c r="CH57" s="10">
        <v>26</v>
      </c>
      <c r="CI57" s="10" t="s">
        <v>129</v>
      </c>
      <c r="CJ57" s="10" t="s">
        <v>123</v>
      </c>
      <c r="CK57" s="10" t="s">
        <v>123</v>
      </c>
      <c r="CL57" s="10" t="s">
        <v>123</v>
      </c>
      <c r="CM57" s="10" t="s">
        <v>123</v>
      </c>
      <c r="CN57" s="10" t="s">
        <v>123</v>
      </c>
      <c r="CO57" s="10">
        <v>0</v>
      </c>
      <c r="CP57" s="10">
        <v>0</v>
      </c>
      <c r="CQ57" s="10">
        <v>0</v>
      </c>
      <c r="CR57" s="10" t="s">
        <v>123</v>
      </c>
      <c r="CS57" s="10" t="s">
        <v>123</v>
      </c>
      <c r="CT57" s="10" t="s">
        <v>117</v>
      </c>
      <c r="CU57" s="10" t="s">
        <v>123</v>
      </c>
      <c r="CV57" s="10">
        <v>55</v>
      </c>
    </row>
    <row r="58" spans="1:100" x14ac:dyDescent="0.25">
      <c r="A58" s="27">
        <v>53</v>
      </c>
      <c r="B58" s="21" t="s">
        <v>478</v>
      </c>
      <c r="C58" s="21" t="s">
        <v>643</v>
      </c>
      <c r="D58" s="22" t="s">
        <v>817</v>
      </c>
      <c r="E58" s="32" t="s">
        <v>479</v>
      </c>
      <c r="F58" s="25" t="s">
        <v>123</v>
      </c>
      <c r="G58" s="31" t="s">
        <v>480</v>
      </c>
      <c r="H58" s="31" t="s">
        <v>687</v>
      </c>
      <c r="I58" s="31" t="s">
        <v>114</v>
      </c>
      <c r="J58" s="31">
        <v>48152</v>
      </c>
      <c r="K58" s="10" t="s">
        <v>134</v>
      </c>
      <c r="L58" s="23"/>
      <c r="M58" s="11" t="s">
        <v>123</v>
      </c>
      <c r="N58" s="10" t="s">
        <v>118</v>
      </c>
      <c r="O58" s="10" t="s">
        <v>123</v>
      </c>
      <c r="P58" s="10" t="s">
        <v>123</v>
      </c>
      <c r="Q58" s="10" t="s">
        <v>123</v>
      </c>
      <c r="R58" s="10" t="s">
        <v>123</v>
      </c>
      <c r="S58" s="10">
        <v>20191119</v>
      </c>
      <c r="T58" s="10">
        <v>2</v>
      </c>
      <c r="U58" s="10" t="s">
        <v>120</v>
      </c>
      <c r="V58" s="10" t="s">
        <v>121</v>
      </c>
      <c r="W58" s="10" t="s">
        <v>122</v>
      </c>
      <c r="X58" s="10">
        <v>3000000</v>
      </c>
      <c r="Y58" s="10" t="str">
        <f t="shared" si="0"/>
        <v>2019</v>
      </c>
      <c r="Z58" s="10" t="str">
        <f t="shared" si="1"/>
        <v>1119</v>
      </c>
      <c r="AA58" s="10" t="str">
        <f t="shared" si="2"/>
        <v>11</v>
      </c>
      <c r="AB58" s="10" t="str">
        <f t="shared" si="3"/>
        <v>19</v>
      </c>
      <c r="AC58" s="10" t="str">
        <f t="shared" si="4"/>
        <v>2019-11-19</v>
      </c>
      <c r="AD58" s="10" t="s">
        <v>123</v>
      </c>
      <c r="AE58" s="10" t="s">
        <v>125</v>
      </c>
      <c r="AF58" s="10" t="s">
        <v>126</v>
      </c>
      <c r="AG58" s="10" t="s">
        <v>123</v>
      </c>
      <c r="AH58" s="10" t="s">
        <v>124</v>
      </c>
      <c r="AI58" s="10" t="s">
        <v>135</v>
      </c>
      <c r="AJ58" s="10" t="s">
        <v>123</v>
      </c>
      <c r="AK58" s="10">
        <v>60</v>
      </c>
      <c r="AL58" s="10">
        <v>0</v>
      </c>
      <c r="AM58" s="10">
        <v>0</v>
      </c>
      <c r="AN58" s="10" t="s">
        <v>124</v>
      </c>
      <c r="AO58" s="33">
        <v>0</v>
      </c>
      <c r="AP58" s="10" t="s">
        <v>123</v>
      </c>
      <c r="AQ58" s="10" t="s">
        <v>123</v>
      </c>
      <c r="AR58" s="10" t="s">
        <v>123</v>
      </c>
      <c r="AS58" s="10">
        <v>0</v>
      </c>
      <c r="AT58" s="10">
        <v>0</v>
      </c>
      <c r="AU58" s="33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 t="s">
        <v>123</v>
      </c>
      <c r="BI58" s="10" t="s">
        <v>123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 t="s">
        <v>124</v>
      </c>
      <c r="BP58" s="10" t="s">
        <v>128</v>
      </c>
      <c r="BQ58" s="10" t="s">
        <v>128</v>
      </c>
      <c r="BR58" s="10" t="s">
        <v>124</v>
      </c>
      <c r="BS58" s="10" t="s">
        <v>123</v>
      </c>
      <c r="BT58" s="10" t="s">
        <v>123</v>
      </c>
      <c r="BU58" s="10" t="s">
        <v>123</v>
      </c>
      <c r="BV58" s="10" t="s">
        <v>123</v>
      </c>
      <c r="BW58" s="10" t="s">
        <v>123</v>
      </c>
      <c r="BX58" s="10" t="s">
        <v>123</v>
      </c>
      <c r="BY58" s="10">
        <v>0</v>
      </c>
      <c r="BZ58" s="10" t="s">
        <v>123</v>
      </c>
      <c r="CA58" s="10" t="s">
        <v>123</v>
      </c>
      <c r="CB58" s="10">
        <v>0</v>
      </c>
      <c r="CC58" s="10" t="s">
        <v>123</v>
      </c>
      <c r="CD58" s="10">
        <v>69000000</v>
      </c>
      <c r="CE58" s="10" t="s">
        <v>123</v>
      </c>
      <c r="CF58" s="10" t="s">
        <v>123</v>
      </c>
      <c r="CG58" s="10" t="s">
        <v>123</v>
      </c>
      <c r="CH58" s="10">
        <v>26</v>
      </c>
      <c r="CI58" s="10" t="s">
        <v>129</v>
      </c>
      <c r="CJ58" s="10" t="s">
        <v>123</v>
      </c>
      <c r="CK58" s="10" t="s">
        <v>123</v>
      </c>
      <c r="CL58" s="10" t="s">
        <v>123</v>
      </c>
      <c r="CM58" s="10" t="s">
        <v>123</v>
      </c>
      <c r="CN58" s="10" t="s">
        <v>123</v>
      </c>
      <c r="CO58" s="10">
        <v>0</v>
      </c>
      <c r="CP58" s="10">
        <v>0</v>
      </c>
      <c r="CQ58" s="10">
        <v>0</v>
      </c>
      <c r="CR58" s="10" t="s">
        <v>123</v>
      </c>
      <c r="CS58" s="10" t="s">
        <v>123</v>
      </c>
      <c r="CT58" s="10" t="s">
        <v>123</v>
      </c>
      <c r="CU58" s="10" t="s">
        <v>123</v>
      </c>
      <c r="CV58" s="10">
        <v>53</v>
      </c>
    </row>
    <row r="59" spans="1:100" x14ac:dyDescent="0.25">
      <c r="A59" s="27">
        <v>58</v>
      </c>
      <c r="B59" s="21" t="s">
        <v>481</v>
      </c>
      <c r="C59" s="21" t="s">
        <v>644</v>
      </c>
      <c r="D59" s="22" t="s">
        <v>818</v>
      </c>
      <c r="E59" s="32" t="s">
        <v>482</v>
      </c>
      <c r="F59" s="25" t="s">
        <v>483</v>
      </c>
      <c r="G59" s="31" t="s">
        <v>484</v>
      </c>
      <c r="H59" s="31" t="s">
        <v>688</v>
      </c>
      <c r="I59" s="31" t="s">
        <v>119</v>
      </c>
      <c r="J59" s="31" t="s">
        <v>485</v>
      </c>
      <c r="K59" s="10" t="s">
        <v>486</v>
      </c>
      <c r="L59" s="23" t="s">
        <v>487</v>
      </c>
      <c r="M59" s="11" t="s">
        <v>117</v>
      </c>
      <c r="N59" s="10" t="s">
        <v>488</v>
      </c>
      <c r="O59" s="10" t="s">
        <v>118</v>
      </c>
      <c r="P59" s="10" t="s">
        <v>119</v>
      </c>
      <c r="Q59" s="10" t="s">
        <v>119</v>
      </c>
      <c r="R59" s="10" t="s">
        <v>118</v>
      </c>
      <c r="S59" s="10">
        <v>20201119</v>
      </c>
      <c r="T59" s="10">
        <v>11</v>
      </c>
      <c r="U59" s="10" t="s">
        <v>120</v>
      </c>
      <c r="V59" s="10" t="s">
        <v>121</v>
      </c>
      <c r="W59" s="10" t="s">
        <v>122</v>
      </c>
      <c r="X59" s="10">
        <v>3000000</v>
      </c>
      <c r="Y59" s="10" t="str">
        <f t="shared" si="0"/>
        <v>2020</v>
      </c>
      <c r="Z59" s="10" t="str">
        <f t="shared" si="1"/>
        <v>1119</v>
      </c>
      <c r="AA59" s="10" t="str">
        <f t="shared" si="2"/>
        <v>11</v>
      </c>
      <c r="AB59" s="10" t="str">
        <f t="shared" si="3"/>
        <v>19</v>
      </c>
      <c r="AC59" s="10" t="str">
        <f t="shared" si="4"/>
        <v>2020-11-19</v>
      </c>
      <c r="AD59" s="10" t="s">
        <v>123</v>
      </c>
      <c r="AE59" s="10" t="s">
        <v>125</v>
      </c>
      <c r="AF59" s="10" t="s">
        <v>126</v>
      </c>
      <c r="AG59" s="10" t="s">
        <v>123</v>
      </c>
      <c r="AH59" s="10" t="s">
        <v>124</v>
      </c>
      <c r="AI59" s="10">
        <v>4</v>
      </c>
      <c r="AJ59" s="10" t="s">
        <v>123</v>
      </c>
      <c r="AK59" s="10">
        <v>30</v>
      </c>
      <c r="AL59" s="10">
        <v>0</v>
      </c>
      <c r="AM59" s="10">
        <v>0</v>
      </c>
      <c r="AN59" s="10" t="s">
        <v>124</v>
      </c>
      <c r="AO59" s="33">
        <v>0</v>
      </c>
      <c r="AP59" s="10" t="s">
        <v>123</v>
      </c>
      <c r="AQ59" s="10" t="s">
        <v>123</v>
      </c>
      <c r="AR59" s="10" t="s">
        <v>123</v>
      </c>
      <c r="AS59" s="10">
        <v>0</v>
      </c>
      <c r="AT59" s="10">
        <v>0</v>
      </c>
      <c r="AU59" s="33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 t="s">
        <v>123</v>
      </c>
      <c r="BI59" s="10" t="s">
        <v>123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 t="s">
        <v>124</v>
      </c>
      <c r="BP59" s="10" t="s">
        <v>128</v>
      </c>
      <c r="BQ59" s="10" t="s">
        <v>128</v>
      </c>
      <c r="BR59" s="10" t="s">
        <v>124</v>
      </c>
      <c r="BS59" s="10" t="s">
        <v>123</v>
      </c>
      <c r="BT59" s="10" t="s">
        <v>123</v>
      </c>
      <c r="BU59" s="10" t="s">
        <v>123</v>
      </c>
      <c r="BV59" s="10" t="s">
        <v>123</v>
      </c>
      <c r="BW59" s="10" t="s">
        <v>123</v>
      </c>
      <c r="BX59" s="10" t="s">
        <v>123</v>
      </c>
      <c r="BY59" s="10">
        <v>0</v>
      </c>
      <c r="BZ59" s="10" t="s">
        <v>123</v>
      </c>
      <c r="CA59" s="10" t="s">
        <v>123</v>
      </c>
      <c r="CB59" s="10">
        <v>0</v>
      </c>
      <c r="CC59" s="10" t="s">
        <v>123</v>
      </c>
      <c r="CD59" s="10">
        <v>69000000</v>
      </c>
      <c r="CE59" s="10" t="s">
        <v>123</v>
      </c>
      <c r="CF59" s="10" t="s">
        <v>123</v>
      </c>
      <c r="CG59" s="10" t="s">
        <v>123</v>
      </c>
      <c r="CH59" s="10">
        <v>26</v>
      </c>
      <c r="CI59" s="10" t="s">
        <v>129</v>
      </c>
      <c r="CJ59" s="10" t="s">
        <v>123</v>
      </c>
      <c r="CK59" s="10" t="s">
        <v>123</v>
      </c>
      <c r="CL59" s="10" t="s">
        <v>123</v>
      </c>
      <c r="CM59" s="10" t="s">
        <v>123</v>
      </c>
      <c r="CN59" s="10" t="s">
        <v>123</v>
      </c>
      <c r="CO59" s="10">
        <v>0</v>
      </c>
      <c r="CP59" s="10">
        <v>0</v>
      </c>
      <c r="CQ59" s="10">
        <v>0</v>
      </c>
      <c r="CR59" s="10" t="s">
        <v>123</v>
      </c>
      <c r="CS59" s="10" t="s">
        <v>123</v>
      </c>
      <c r="CT59" s="10" t="s">
        <v>117</v>
      </c>
      <c r="CU59" s="10" t="s">
        <v>123</v>
      </c>
      <c r="CV59" s="10">
        <v>58</v>
      </c>
    </row>
    <row r="60" spans="1:100" x14ac:dyDescent="0.25">
      <c r="A60" s="27">
        <v>60</v>
      </c>
      <c r="B60" s="21" t="s">
        <v>489</v>
      </c>
      <c r="C60" s="21" t="s">
        <v>645</v>
      </c>
      <c r="D60" s="22" t="s">
        <v>818</v>
      </c>
      <c r="E60" s="32" t="s">
        <v>482</v>
      </c>
      <c r="F60" s="25" t="s">
        <v>490</v>
      </c>
      <c r="G60" s="31" t="s">
        <v>484</v>
      </c>
      <c r="H60" s="31" t="s">
        <v>688</v>
      </c>
      <c r="I60" s="31" t="s">
        <v>119</v>
      </c>
      <c r="J60" s="31" t="s">
        <v>485</v>
      </c>
      <c r="K60" s="10" t="s">
        <v>491</v>
      </c>
      <c r="L60" s="23" t="s">
        <v>492</v>
      </c>
      <c r="M60" s="11" t="s">
        <v>117</v>
      </c>
      <c r="N60" s="10">
        <v>886211963</v>
      </c>
      <c r="O60" s="10" t="s">
        <v>118</v>
      </c>
      <c r="P60" s="10" t="s">
        <v>119</v>
      </c>
      <c r="Q60" s="10" t="s">
        <v>119</v>
      </c>
      <c r="R60" s="10" t="s">
        <v>118</v>
      </c>
      <c r="S60" s="10">
        <v>20210111</v>
      </c>
      <c r="T60" s="10">
        <v>5</v>
      </c>
      <c r="U60" s="10" t="s">
        <v>250</v>
      </c>
      <c r="V60" s="10" t="s">
        <v>121</v>
      </c>
      <c r="W60" s="10" t="s">
        <v>122</v>
      </c>
      <c r="X60" s="10">
        <v>3000000</v>
      </c>
      <c r="Y60" s="10" t="str">
        <f t="shared" si="0"/>
        <v>2021</v>
      </c>
      <c r="Z60" s="10" t="str">
        <f t="shared" si="1"/>
        <v>0111</v>
      </c>
      <c r="AA60" s="10" t="str">
        <f t="shared" si="2"/>
        <v>01</v>
      </c>
      <c r="AB60" s="10" t="str">
        <f t="shared" si="3"/>
        <v>11</v>
      </c>
      <c r="AC60" s="10" t="str">
        <f t="shared" si="4"/>
        <v>2021-01-11</v>
      </c>
      <c r="AD60" s="10" t="s">
        <v>123</v>
      </c>
      <c r="AE60" s="10" t="s">
        <v>125</v>
      </c>
      <c r="AF60" s="10" t="s">
        <v>126</v>
      </c>
      <c r="AG60" s="10" t="s">
        <v>123</v>
      </c>
      <c r="AH60" s="10" t="s">
        <v>124</v>
      </c>
      <c r="AI60" s="10" t="s">
        <v>188</v>
      </c>
      <c r="AJ60" s="10" t="s">
        <v>123</v>
      </c>
      <c r="AK60" s="10">
        <v>30</v>
      </c>
      <c r="AL60" s="10">
        <v>0</v>
      </c>
      <c r="AM60" s="10">
        <v>0</v>
      </c>
      <c r="AN60" s="10" t="s">
        <v>124</v>
      </c>
      <c r="AO60" s="33">
        <v>0</v>
      </c>
      <c r="AP60" s="10" t="s">
        <v>123</v>
      </c>
      <c r="AQ60" s="10" t="s">
        <v>123</v>
      </c>
      <c r="AR60" s="10" t="s">
        <v>123</v>
      </c>
      <c r="AS60" s="10">
        <v>0</v>
      </c>
      <c r="AT60" s="10">
        <v>0</v>
      </c>
      <c r="AU60" s="33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 t="s">
        <v>123</v>
      </c>
      <c r="BI60" s="10" t="s">
        <v>123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 t="s">
        <v>124</v>
      </c>
      <c r="BP60" s="10" t="s">
        <v>128</v>
      </c>
      <c r="BQ60" s="10" t="s">
        <v>128</v>
      </c>
      <c r="BR60" s="10" t="s">
        <v>124</v>
      </c>
      <c r="BS60" s="10" t="s">
        <v>123</v>
      </c>
      <c r="BT60" s="10" t="s">
        <v>123</v>
      </c>
      <c r="BU60" s="10" t="s">
        <v>123</v>
      </c>
      <c r="BV60" s="10" t="s">
        <v>123</v>
      </c>
      <c r="BW60" s="10" t="s">
        <v>123</v>
      </c>
      <c r="BX60" s="10" t="s">
        <v>123</v>
      </c>
      <c r="BY60" s="10">
        <v>0</v>
      </c>
      <c r="BZ60" s="10" t="s">
        <v>123</v>
      </c>
      <c r="CA60" s="10" t="s">
        <v>123</v>
      </c>
      <c r="CB60" s="10">
        <v>0</v>
      </c>
      <c r="CC60" s="10" t="s">
        <v>123</v>
      </c>
      <c r="CD60" s="10" t="s">
        <v>123</v>
      </c>
      <c r="CE60" s="10" t="s">
        <v>123</v>
      </c>
      <c r="CF60" s="10" t="s">
        <v>123</v>
      </c>
      <c r="CG60" s="10" t="s">
        <v>123</v>
      </c>
      <c r="CH60" s="10">
        <v>26</v>
      </c>
      <c r="CI60" s="10" t="s">
        <v>129</v>
      </c>
      <c r="CJ60" s="10" t="s">
        <v>123</v>
      </c>
      <c r="CK60" s="10" t="s">
        <v>123</v>
      </c>
      <c r="CL60" s="10" t="s">
        <v>123</v>
      </c>
      <c r="CM60" s="10" t="s">
        <v>123</v>
      </c>
      <c r="CN60" s="10" t="s">
        <v>123</v>
      </c>
      <c r="CO60" s="10">
        <v>0</v>
      </c>
      <c r="CP60" s="10">
        <v>0</v>
      </c>
      <c r="CQ60" s="10">
        <v>0</v>
      </c>
      <c r="CR60" s="10" t="s">
        <v>123</v>
      </c>
      <c r="CS60" s="10" t="s">
        <v>123</v>
      </c>
      <c r="CT60" s="10" t="s">
        <v>123</v>
      </c>
      <c r="CU60" s="10" t="s">
        <v>123</v>
      </c>
      <c r="CV60" s="10">
        <v>60</v>
      </c>
    </row>
  </sheetData>
  <conditionalFormatting sqref="A1 A5 A9 A13 A17 A21 A25 A29 A33 A37 A41 A45 A49 A53 A57">
    <cfRule type="duplicateValues" dxfId="8" priority="4"/>
  </conditionalFormatting>
  <conditionalFormatting sqref="A2 A6 A10 A14 A18 A22 A26 A30 A34 A38 A42 A46 A50 A54 A58">
    <cfRule type="duplicateValues" dxfId="7" priority="3"/>
  </conditionalFormatting>
  <conditionalFormatting sqref="A3:A4 A7:A8 A11:A12 A15:A16 A19:A20 A23:A24 A27:A28 A31:A32 A35:A36 A39:A40 A43:A44 A47:A48 A51:A52 A55:A56 A59:A60">
    <cfRule type="duplicateValues" dxfId="6" priority="1"/>
  </conditionalFormatting>
  <conditionalFormatting sqref="E1:F60">
    <cfRule type="beginsWith" dxfId="5" priority="2" operator="beginsWith" text="[K_">
      <formula>LEFT(#REF!,LEN("[K_"))="[K_"</formula>
    </cfRule>
  </conditionalFormatting>
  <conditionalFormatting sqref="B1:C60">
    <cfRule type="duplicateValues" dxfId="4" priority="7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TABLE</vt:lpstr>
      <vt:lpstr>CI_</vt:lpstr>
      <vt:lpstr>ADDRESS</vt:lpstr>
      <vt:lpstr>CONTACT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Alejandro de la Rosa</cp:lastModifiedBy>
  <dcterms:created xsi:type="dcterms:W3CDTF">2018-09-05T16:16:25Z</dcterms:created>
  <dcterms:modified xsi:type="dcterms:W3CDTF">2021-01-21T20:53:44Z</dcterms:modified>
</cp:coreProperties>
</file>