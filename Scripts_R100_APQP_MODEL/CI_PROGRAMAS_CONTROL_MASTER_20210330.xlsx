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APQP\Scripts_R100_APQP_MODEL\"/>
    </mc:Choice>
  </mc:AlternateContent>
  <xr:revisionPtr revIDLastSave="0" documentId="13_ncr:1_{6747BF1A-1B18-4BA9-A058-B266C01C3633}" xr6:coauthVersionLast="46" xr6:coauthVersionMax="46" xr10:uidLastSave="{00000000-0000-0000-0000-000000000000}"/>
  <bookViews>
    <workbookView xWindow="-120" yWindow="-120" windowWidth="29040" windowHeight="15840" xr2:uid="{31C1A467-BD5D-4066-8C24-9EDA11CFF2CF}"/>
  </bookViews>
  <sheets>
    <sheet name="Hoja1" sheetId="1" r:id="rId1"/>
  </sheets>
  <definedNames>
    <definedName name="_xlnm._FilterDatabase" localSheetId="0" hidden="1">Hoja1!$A$5:$L$155</definedName>
    <definedName name="_xlnm.Extra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6" i="1"/>
</calcChain>
</file>

<file path=xl/sharedStrings.xml><?xml version="1.0" encoding="utf-8"?>
<sst xmlns="http://schemas.openxmlformats.org/spreadsheetml/2006/main" count="615" uniqueCount="324">
  <si>
    <t>YC5</t>
  </si>
  <si>
    <t>2021 WL 75 JEEP GRAND CHEROKEE</t>
  </si>
  <si>
    <t>YANG03</t>
  </si>
  <si>
    <t>YC4</t>
  </si>
  <si>
    <t>2021 WL 74 JEEP GRAND CHEROKEE</t>
  </si>
  <si>
    <t>YWS</t>
  </si>
  <si>
    <t xml:space="preserve">2021 WS JEEP GRAND WAGONEER   </t>
  </si>
  <si>
    <t>YANG02</t>
  </si>
  <si>
    <t>YWD</t>
  </si>
  <si>
    <t xml:space="preserve">WS YANGFENG DOOR PANEL        </t>
  </si>
  <si>
    <t>WPI</t>
  </si>
  <si>
    <t xml:space="preserve">2021 WPI WD CONSOLE LID       </t>
  </si>
  <si>
    <t>WPI003</t>
  </si>
  <si>
    <t>RUP</t>
  </si>
  <si>
    <t xml:space="preserve">2021 RU PINNACLE              </t>
  </si>
  <si>
    <t>WOOD01</t>
  </si>
  <si>
    <t>THE</t>
  </si>
  <si>
    <t xml:space="preserve">U228 NAVIGATOR HEADREST       </t>
  </si>
  <si>
    <t>TECH01</t>
  </si>
  <si>
    <t>MYS</t>
  </si>
  <si>
    <t xml:space="preserve">U388 HEADREST                 </t>
  </si>
  <si>
    <t>MAYS01</t>
  </si>
  <si>
    <t>XYZ</t>
  </si>
  <si>
    <t xml:space="preserve">WK TEST                       </t>
  </si>
  <si>
    <t>MAGN03</t>
  </si>
  <si>
    <t xml:space="preserve">2018 WK YL                    </t>
  </si>
  <si>
    <t>WSL</t>
  </si>
  <si>
    <t xml:space="preserve">2019 WS JEEP AL               </t>
  </si>
  <si>
    <t>WPL</t>
  </si>
  <si>
    <t xml:space="preserve">2018 WD PL                    </t>
  </si>
  <si>
    <t>WNL</t>
  </si>
  <si>
    <t xml:space="preserve">2018 WK NL                    </t>
  </si>
  <si>
    <t>WKZ</t>
  </si>
  <si>
    <t xml:space="preserve">2014 WK DZ(SRT)               </t>
  </si>
  <si>
    <t>WKY</t>
  </si>
  <si>
    <t>WKU</t>
  </si>
  <si>
    <t xml:space="preserve">2014 WK JEEP UL               </t>
  </si>
  <si>
    <t>WKT</t>
  </si>
  <si>
    <t xml:space="preserve">2014 WK JEEP GL/DL TWO TONES  </t>
  </si>
  <si>
    <t>WKL</t>
  </si>
  <si>
    <t xml:space="preserve">2015 WK KL ALTITUDE II        </t>
  </si>
  <si>
    <t>WKJ</t>
  </si>
  <si>
    <t xml:space="preserve">2017 WK CJ                    </t>
  </si>
  <si>
    <t>WKG</t>
  </si>
  <si>
    <t xml:space="preserve">2014 WK JEEP GL/DL            </t>
  </si>
  <si>
    <t>WEL</t>
  </si>
  <si>
    <t xml:space="preserve">2017 WK-EL RESERVE            </t>
  </si>
  <si>
    <t>WDM</t>
  </si>
  <si>
    <t xml:space="preserve">2017 WD ML                    </t>
  </si>
  <si>
    <t>WD2</t>
  </si>
  <si>
    <t xml:space="preserve">2017  WD ML DOS TONOS         </t>
  </si>
  <si>
    <t>WBL</t>
  </si>
  <si>
    <t xml:space="preserve">2017 WK BL                    </t>
  </si>
  <si>
    <t>U54</t>
  </si>
  <si>
    <t xml:space="preserve">U540 VINYL LAMINATION         </t>
  </si>
  <si>
    <t>SL3</t>
  </si>
  <si>
    <t xml:space="preserve">2013 U387 SEL                 </t>
  </si>
  <si>
    <t>RUM</t>
  </si>
  <si>
    <t xml:space="preserve">2016 RU OPCION ML             </t>
  </si>
  <si>
    <t>RUE</t>
  </si>
  <si>
    <t xml:space="preserve">2016 RU OPCION EL             </t>
  </si>
  <si>
    <t>RUA</t>
  </si>
  <si>
    <t xml:space="preserve">2016 RU OPCION AL             </t>
  </si>
  <si>
    <t>RDL</t>
  </si>
  <si>
    <t xml:space="preserve">2021 RU DL PINNACLE           </t>
  </si>
  <si>
    <t>PVP</t>
  </si>
  <si>
    <t xml:space="preserve">U387 FORD VPP                 </t>
  </si>
  <si>
    <t>PLS</t>
  </si>
  <si>
    <t xml:space="preserve">D471 2016 SALERNO             </t>
  </si>
  <si>
    <t>PLE</t>
  </si>
  <si>
    <t xml:space="preserve">D471 LTD 2013                 </t>
  </si>
  <si>
    <t>PLD</t>
  </si>
  <si>
    <t xml:space="preserve">D471 SEL 2013                 </t>
  </si>
  <si>
    <t>PLC</t>
  </si>
  <si>
    <t xml:space="preserve">D471 LTD PLATINIUM            </t>
  </si>
  <si>
    <t>PLB</t>
  </si>
  <si>
    <t xml:space="preserve">U388 HEADREST 2012            </t>
  </si>
  <si>
    <t>PL9</t>
  </si>
  <si>
    <t xml:space="preserve">U387 FORD SPORT 2011          </t>
  </si>
  <si>
    <t>PL8</t>
  </si>
  <si>
    <t xml:space="preserve">U387 FORD SPORT 2012          </t>
  </si>
  <si>
    <t>PL7</t>
  </si>
  <si>
    <t xml:space="preserve">U387 FORD SEL 2013            </t>
  </si>
  <si>
    <t xml:space="preserve">U387 FORD SEL 2012            </t>
  </si>
  <si>
    <t>PL6</t>
  </si>
  <si>
    <t xml:space="preserve">U388 LINCOLN ULTIMATE         </t>
  </si>
  <si>
    <t>PL5</t>
  </si>
  <si>
    <t xml:space="preserve">D471 LTD 2012                 </t>
  </si>
  <si>
    <t>PL4</t>
  </si>
  <si>
    <t xml:space="preserve">D471 SEL 2012                 </t>
  </si>
  <si>
    <t>PL3</t>
  </si>
  <si>
    <t xml:space="preserve">U388 LINCOLN BASE 2012        </t>
  </si>
  <si>
    <t>PL2</t>
  </si>
  <si>
    <t xml:space="preserve">U387 FORD SEL 2011 PLM        </t>
  </si>
  <si>
    <t>L88</t>
  </si>
  <si>
    <t xml:space="preserve">U388 LINCOLN LIMITED          </t>
  </si>
  <si>
    <t>GRE</t>
  </si>
  <si>
    <t xml:space="preserve">U387 FORD GREY                </t>
  </si>
  <si>
    <t>FCE</t>
  </si>
  <si>
    <t xml:space="preserve">U387 FORD CUTTING EDGE        </t>
  </si>
  <si>
    <t>3SU</t>
  </si>
  <si>
    <t xml:space="preserve">GMT 315 SUV                   </t>
  </si>
  <si>
    <t xml:space="preserve">U387 FORD PREMIUM             </t>
  </si>
  <si>
    <t>WTL</t>
  </si>
  <si>
    <t xml:space="preserve">2021 WL 75 TL 12 WAY          </t>
  </si>
  <si>
    <t>MAGN02</t>
  </si>
  <si>
    <t>WLK</t>
  </si>
  <si>
    <t xml:space="preserve">2021 WL KL 8W BASE SRT        </t>
  </si>
  <si>
    <t>WLB</t>
  </si>
  <si>
    <t xml:space="preserve">2021 WL 75 BL OVERLAND        </t>
  </si>
  <si>
    <t>WEC</t>
  </si>
  <si>
    <t xml:space="preserve">2021 WL 75 EC SUMMIT          </t>
  </si>
  <si>
    <t>WDL</t>
  </si>
  <si>
    <t xml:space="preserve">2021 WL 75 DL LIMITED         </t>
  </si>
  <si>
    <t>WCL</t>
  </si>
  <si>
    <t xml:space="preserve">2021 WL 75 CL 8 WAY           </t>
  </si>
  <si>
    <t>WC1</t>
  </si>
  <si>
    <t xml:space="preserve">2021 WL 75 CL 12 WAY          </t>
  </si>
  <si>
    <t>WAL</t>
  </si>
  <si>
    <t xml:space="preserve">2021 WL 75 AL 8W LIMITED      </t>
  </si>
  <si>
    <t>W7T</t>
  </si>
  <si>
    <t xml:space="preserve">2021 WL 74 TL                 </t>
  </si>
  <si>
    <t>W7S</t>
  </si>
  <si>
    <t xml:space="preserve">2021 WL 74 SL                 </t>
  </si>
  <si>
    <t>W7E</t>
  </si>
  <si>
    <t xml:space="preserve">2021 WL 74 EC                 </t>
  </si>
  <si>
    <t>W7D</t>
  </si>
  <si>
    <t xml:space="preserve">2021 WL 74 DL                 </t>
  </si>
  <si>
    <t>W7C</t>
  </si>
  <si>
    <t xml:space="preserve">2021 WL 74 CL 8W              </t>
  </si>
  <si>
    <t>W7B</t>
  </si>
  <si>
    <t xml:space="preserve">2021 WL 74 BL                 </t>
  </si>
  <si>
    <t>W7A</t>
  </si>
  <si>
    <t xml:space="preserve">2021 WL 74 AL                 </t>
  </si>
  <si>
    <t>UMA</t>
  </si>
  <si>
    <t xml:space="preserve">U377 MAZDA PREMIUM 2008       </t>
  </si>
  <si>
    <t>MAGN01</t>
  </si>
  <si>
    <t>U77</t>
  </si>
  <si>
    <t xml:space="preserve">U377 FORD MONO TONE           </t>
  </si>
  <si>
    <t>U55</t>
  </si>
  <si>
    <t xml:space="preserve">2019 U553 EXPEDITION          </t>
  </si>
  <si>
    <t>U3P</t>
  </si>
  <si>
    <t xml:space="preserve">U364 MCY PREMIUM              </t>
  </si>
  <si>
    <t>U3M</t>
  </si>
  <si>
    <t xml:space="preserve">U377 MERCURY PREMIUM 2008     </t>
  </si>
  <si>
    <t>U3L</t>
  </si>
  <si>
    <t xml:space="preserve">U364 MERCURY LTD STD          </t>
  </si>
  <si>
    <t>U37</t>
  </si>
  <si>
    <t xml:space="preserve">U377 MERCURY LTD 2008         </t>
  </si>
  <si>
    <t>U2M</t>
  </si>
  <si>
    <t xml:space="preserve">U204 MAZDA PREMIUM            </t>
  </si>
  <si>
    <t>U2L</t>
  </si>
  <si>
    <t xml:space="preserve">U204 FORD LTD STD             </t>
  </si>
  <si>
    <t>U2F</t>
  </si>
  <si>
    <t xml:space="preserve">U204 FORD LTD AB              </t>
  </si>
  <si>
    <t>U20</t>
  </si>
  <si>
    <t xml:space="preserve">U204 MAZDA AIR BAG            </t>
  </si>
  <si>
    <t>PLA</t>
  </si>
  <si>
    <t xml:space="preserve">VN-127 FORD ECONOLINE         </t>
  </si>
  <si>
    <t>PL1</t>
  </si>
  <si>
    <t xml:space="preserve">U377 FORD PREMIUM 11 PLM      </t>
  </si>
  <si>
    <t>MP9</t>
  </si>
  <si>
    <t xml:space="preserve">U377 MERCURY PREMIUM 2009     </t>
  </si>
  <si>
    <t>MAZ</t>
  </si>
  <si>
    <t xml:space="preserve">U377 MAZDA PREMIUM 2009       </t>
  </si>
  <si>
    <t>HRM</t>
  </si>
  <si>
    <t xml:space="preserve">U377 HEADREST 2010            </t>
  </si>
  <si>
    <t>GXS</t>
  </si>
  <si>
    <t xml:space="preserve">GMX001 SEDAN                  </t>
  </si>
  <si>
    <t>GX1</t>
  </si>
  <si>
    <t xml:space="preserve">GMX 001 COUPE L4              </t>
  </si>
  <si>
    <t>GMC</t>
  </si>
  <si>
    <t xml:space="preserve">GMX 001 COUPE                 </t>
  </si>
  <si>
    <t>TSL</t>
  </si>
  <si>
    <t xml:space="preserve">2013 D258 TAURUS SEL          </t>
  </si>
  <si>
    <t>LEAV01</t>
  </si>
  <si>
    <t>THO</t>
  </si>
  <si>
    <t>2013 D258 TAURUS SHO &amp; LIMITED</t>
  </si>
  <si>
    <t>THL</t>
  </si>
  <si>
    <t xml:space="preserve">2013 D258 TAURUS LTD          </t>
  </si>
  <si>
    <t>SH2</t>
  </si>
  <si>
    <t xml:space="preserve">2013 S197 MUSTANG SHELBY TT   </t>
  </si>
  <si>
    <t>SH1</t>
  </si>
  <si>
    <t xml:space="preserve">2013 S197 MUSTANG SHELBY 5B8  </t>
  </si>
  <si>
    <t>PRM</t>
  </si>
  <si>
    <t xml:space="preserve">2013 S197 MUSTANG PREMIUM     </t>
  </si>
  <si>
    <t>IUP</t>
  </si>
  <si>
    <t xml:space="preserve">2013 S197 MUSTANG IUP         </t>
  </si>
  <si>
    <t>G65</t>
  </si>
  <si>
    <t xml:space="preserve">GMX365 BUICK LACROSSE         </t>
  </si>
  <si>
    <t>CAL</t>
  </si>
  <si>
    <t xml:space="preserve">2013 S197 MUSTANG CALIFORNIA  </t>
  </si>
  <si>
    <t xml:space="preserve">GMX 365 2008 FIXED            </t>
  </si>
  <si>
    <t>KHE</t>
  </si>
  <si>
    <t>KONG01</t>
  </si>
  <si>
    <t>SHI</t>
  </si>
  <si>
    <t xml:space="preserve">GM360 CHEVY SHANGAI           </t>
  </si>
  <si>
    <t>JOHN04</t>
  </si>
  <si>
    <t>SHA</t>
  </si>
  <si>
    <t>GM 360 CHEVY/ISUZU/GMC SHANGAI</t>
  </si>
  <si>
    <t>SAA</t>
  </si>
  <si>
    <t xml:space="preserve">GM 360 SAAB                   </t>
  </si>
  <si>
    <t>JOHN03</t>
  </si>
  <si>
    <t>NAV</t>
  </si>
  <si>
    <t xml:space="preserve">U228 NAVIGATOR LUX EDIASA 3   </t>
  </si>
  <si>
    <t>GSS</t>
  </si>
  <si>
    <t xml:space="preserve">GM 360 TRAILBLAZER SS         </t>
  </si>
  <si>
    <t>DEN</t>
  </si>
  <si>
    <t xml:space="preserve">GM 360 DENALY                 </t>
  </si>
  <si>
    <t>CHE</t>
  </si>
  <si>
    <t xml:space="preserve">GM 360 CHEVY / ISUZU / GMC    </t>
  </si>
  <si>
    <t>BUI</t>
  </si>
  <si>
    <t xml:space="preserve">GM 360 BUICK                  </t>
  </si>
  <si>
    <t xml:space="preserve">P415 PLATINIUM                </t>
  </si>
  <si>
    <t xml:space="preserve">U228 NAVIGATOR LUX/ULT        </t>
  </si>
  <si>
    <t>JCT</t>
  </si>
  <si>
    <t xml:space="preserve">JCI-TESLA                     </t>
  </si>
  <si>
    <t>JOHN02</t>
  </si>
  <si>
    <t>CHI</t>
  </si>
  <si>
    <t>GM360 CHEVY / ISUZU /GMC CHINA</t>
  </si>
  <si>
    <t xml:space="preserve">EN114 CONSOLE JCI             </t>
  </si>
  <si>
    <t>PL0</t>
  </si>
  <si>
    <t xml:space="preserve">U388 CONSOLE                  </t>
  </si>
  <si>
    <t>JOHN01</t>
  </si>
  <si>
    <t>GX2</t>
  </si>
  <si>
    <t xml:space="preserve">GMT 192 GXP 2008              </t>
  </si>
  <si>
    <t>IRVI03</t>
  </si>
  <si>
    <t>G93</t>
  </si>
  <si>
    <t xml:space="preserve">GMT 193 2008                  </t>
  </si>
  <si>
    <t>ARM</t>
  </si>
  <si>
    <t xml:space="preserve">ARMREST GMT 193               </t>
  </si>
  <si>
    <t xml:space="preserve">GMT 192 2008                  </t>
  </si>
  <si>
    <t xml:space="preserve">GMT 191 2008                  </t>
  </si>
  <si>
    <t>WLS</t>
  </si>
  <si>
    <t xml:space="preserve">WLS JEEP 2020                 </t>
  </si>
  <si>
    <t>IRVI02</t>
  </si>
  <si>
    <t>VMX</t>
  </si>
  <si>
    <t xml:space="preserve">V229 FREESTAR MXA             </t>
  </si>
  <si>
    <t>VMP</t>
  </si>
  <si>
    <t xml:space="preserve">V229 FREESTAR MPA             </t>
  </si>
  <si>
    <t>VML</t>
  </si>
  <si>
    <t xml:space="preserve">V229 FREESTAR MERCURY LTD     </t>
  </si>
  <si>
    <t>VFL</t>
  </si>
  <si>
    <t xml:space="preserve">V229 FORD FREESTAR LTD        </t>
  </si>
  <si>
    <t>JTS</t>
  </si>
  <si>
    <t xml:space="preserve">2021 JEEP JT SUMMIT           </t>
  </si>
  <si>
    <t>JTM</t>
  </si>
  <si>
    <t xml:space="preserve">2019 JEEP JT MOJAVE           </t>
  </si>
  <si>
    <t>JSU</t>
  </si>
  <si>
    <t xml:space="preserve">JEEPJL SUMMIT                 </t>
  </si>
  <si>
    <t>JPS</t>
  </si>
  <si>
    <t xml:space="preserve">2021 JEEP JL PHEV SUMMIT      </t>
  </si>
  <si>
    <t>JPH</t>
  </si>
  <si>
    <t xml:space="preserve">2020 JEEP JL PHEV             </t>
  </si>
  <si>
    <t>JLI</t>
  </si>
  <si>
    <t xml:space="preserve">2018 JEEP JL                  </t>
  </si>
  <si>
    <t>JJT</t>
  </si>
  <si>
    <t xml:space="preserve">2019 JEEP JT                  </t>
  </si>
  <si>
    <t>GXP</t>
  </si>
  <si>
    <t>GM3</t>
  </si>
  <si>
    <t>GM2</t>
  </si>
  <si>
    <t xml:space="preserve">GMT 192 PONTIAC PERSUIT       </t>
  </si>
  <si>
    <t>GM1</t>
  </si>
  <si>
    <t xml:space="preserve">GMT 191 PONTIAC TORRENT       </t>
  </si>
  <si>
    <t>88L</t>
  </si>
  <si>
    <t>88H</t>
  </si>
  <si>
    <t>88A</t>
  </si>
  <si>
    <t xml:space="preserve">U388 LINCOLN ARMREST          </t>
  </si>
  <si>
    <t>87P</t>
  </si>
  <si>
    <t>87C</t>
  </si>
  <si>
    <t xml:space="preserve">GMT 193 2007                  </t>
  </si>
  <si>
    <t>GWL</t>
  </si>
  <si>
    <t xml:space="preserve">2021 WL 74/75 2ND. ROW ARMRE  </t>
  </si>
  <si>
    <t>GRAM04</t>
  </si>
  <si>
    <t>GW2</t>
  </si>
  <si>
    <t xml:space="preserve">2021 WL 75 QUADS 2ND. ROW AR  </t>
  </si>
  <si>
    <t>GAR</t>
  </si>
  <si>
    <t>GRAM01</t>
  </si>
  <si>
    <t>MCY</t>
  </si>
  <si>
    <t xml:space="preserve">U364 MERCURY LTD FINDALY      </t>
  </si>
  <si>
    <t>FIND02</t>
  </si>
  <si>
    <t>WS3</t>
  </si>
  <si>
    <t xml:space="preserve">2021 WS UL ALWAYS QUILTED     </t>
  </si>
  <si>
    <t>FAUR01</t>
  </si>
  <si>
    <t>S3U</t>
  </si>
  <si>
    <t xml:space="preserve">2021 WS UL JEEP 3RD ROW       </t>
  </si>
  <si>
    <t>S3S</t>
  </si>
  <si>
    <t xml:space="preserve">2021 WS SL JEEP 3RD ROW       </t>
  </si>
  <si>
    <t>FWS</t>
  </si>
  <si>
    <t xml:space="preserve">2021 WS AL JEEP BASE          </t>
  </si>
  <si>
    <t>FW2</t>
  </si>
  <si>
    <t xml:space="preserve">2021 WS JEEP SL NEVER QUILTED </t>
  </si>
  <si>
    <t>C3B</t>
  </si>
  <si>
    <t xml:space="preserve">2021 WS AL JEEP 3RD ROW       </t>
  </si>
  <si>
    <t>C3A</t>
  </si>
  <si>
    <t xml:space="preserve">2021 WS BL-GL EEP 3RD ROW     </t>
  </si>
  <si>
    <t>WLE</t>
  </si>
  <si>
    <t xml:space="preserve">2021 WL EISMANN               </t>
  </si>
  <si>
    <t>EISS01</t>
  </si>
  <si>
    <t>WDK</t>
  </si>
  <si>
    <t xml:space="preserve">2021 WK WD 2ND ROW ARMREST    </t>
  </si>
  <si>
    <t>DAIM05</t>
  </si>
  <si>
    <t>77H</t>
  </si>
  <si>
    <t xml:space="preserve">U377 FORD HEADREST            </t>
  </si>
  <si>
    <t>CNII01</t>
  </si>
  <si>
    <t>WD7</t>
  </si>
  <si>
    <t xml:space="preserve">2021 WL DL 75 VPD             </t>
  </si>
  <si>
    <t>ALGRP1</t>
  </si>
  <si>
    <t>OPCIÓN 1</t>
  </si>
  <si>
    <t>modeldesc</t>
  </si>
  <si>
    <t>cus_no</t>
  </si>
  <si>
    <t>A4GLIdentity</t>
  </si>
  <si>
    <t>#NO</t>
  </si>
  <si>
    <t>GR1</t>
  </si>
  <si>
    <t>GR2</t>
  </si>
  <si>
    <t>GRM</t>
  </si>
  <si>
    <t>GWS</t>
  </si>
  <si>
    <t>2021 WL 75 QUADS 2ND. ROW ARMR</t>
  </si>
  <si>
    <t xml:space="preserve">WS FOLDING 2ND-ROW ARM REST   </t>
  </si>
  <si>
    <t>2021 WL 74/75 2ND. ROW ARMREST</t>
  </si>
  <si>
    <t xml:space="preserve">2021 WS GRAN WAGONNER         </t>
  </si>
  <si>
    <t>modelno/PROGRAMA</t>
  </si>
  <si>
    <t>,</t>
  </si>
  <si>
    <t xml:space="preserve">EXECUTE [dbo].[PG_CI_ARCUSFIL_PROGRAM]  0, 0,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</si>
</sst>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129-C584-402D-B8BD-14D8404319E8}">
  <dimension ref="A5:L159"/>
  <sheetViews>
    <sheetView tabSelected="1" workbookViewId="0">
      <selection activeCell="H6" sqref="H6:H159"/>
    </sheetView>
  </sheetViews>
  <sheetFormatPr baseColWidth="10" defaultRowHeight="12.75" x14ac:dyDescent="0.2"/>
  <cols>
    <col min="3" max="3" width="12.7109375" style="1" customWidth="1"/>
    <col min="4" max="4" width="22.85546875" style="1" bestFit="1" customWidth="1"/>
    <col min="5" max="5" width="42.140625" customWidth="1"/>
    <col min="6" max="6" width="14.42578125" style="2" bestFit="1" customWidth="1"/>
    <col min="7" max="7" width="48.28515625" style="2" bestFit="1" customWidth="1"/>
    <col min="8" max="8" width="33.5703125" style="2" bestFit="1" customWidth="1"/>
    <col min="9" max="9" width="15.7109375" style="2" customWidth="1"/>
    <col min="12" max="12" width="12.5703125" style="1" bestFit="1" customWidth="1"/>
  </cols>
  <sheetData>
    <row r="5" spans="1:10" x14ac:dyDescent="0.2">
      <c r="A5" t="s">
        <v>312</v>
      </c>
      <c r="B5" s="1" t="s">
        <v>311</v>
      </c>
      <c r="C5" s="1" t="s">
        <v>310</v>
      </c>
      <c r="D5" s="1" t="s">
        <v>321</v>
      </c>
      <c r="E5" t="s">
        <v>309</v>
      </c>
      <c r="F5" s="2" t="s">
        <v>308</v>
      </c>
      <c r="H5" t="s">
        <v>322</v>
      </c>
      <c r="I5"/>
    </row>
    <row r="6" spans="1:10" x14ac:dyDescent="0.2">
      <c r="A6">
        <v>1</v>
      </c>
      <c r="B6" s="1">
        <v>46</v>
      </c>
      <c r="C6" s="1" t="s">
        <v>307</v>
      </c>
      <c r="D6" s="1" t="s">
        <v>305</v>
      </c>
      <c r="E6" t="s">
        <v>306</v>
      </c>
      <c r="F6" s="1">
        <v>46</v>
      </c>
      <c r="G6" s="2" t="s">
        <v>323</v>
      </c>
      <c r="H6" s="2" t="str">
        <f>_xlfn.CONCAT(G6,"'",D6,"'",$H$5,"'",TRIM(E6),"'",$H$5,F6)</f>
        <v>EXECUTE [dbo].[PG_CI_ARCUSFIL_PROGRAM]  0, 0, 'WD7','2021 WL DL 75 VPD',46</v>
      </c>
      <c r="I6" s="3"/>
      <c r="J6" s="3"/>
    </row>
    <row r="7" spans="1:10" x14ac:dyDescent="0.2">
      <c r="A7">
        <v>2</v>
      </c>
      <c r="B7" s="1">
        <v>1</v>
      </c>
      <c r="C7" s="1" t="s">
        <v>304</v>
      </c>
      <c r="D7" s="1" t="s">
        <v>302</v>
      </c>
      <c r="E7" t="s">
        <v>303</v>
      </c>
      <c r="F7" s="1">
        <v>1</v>
      </c>
      <c r="G7" s="2" t="s">
        <v>323</v>
      </c>
      <c r="H7" s="2" t="str">
        <f t="shared" ref="H7:H70" si="0">_xlfn.CONCAT(G7,"'",D7,"'",$H$5,"'",TRIM(E7),"'",$H$5,F7)</f>
        <v>EXECUTE [dbo].[PG_CI_ARCUSFIL_PROGRAM]  0, 0, '77H','U377 FORD HEADREST',1</v>
      </c>
      <c r="I7" s="3"/>
    </row>
    <row r="8" spans="1:10" x14ac:dyDescent="0.2">
      <c r="A8">
        <v>3</v>
      </c>
      <c r="B8" s="1">
        <v>56</v>
      </c>
      <c r="C8" s="1" t="s">
        <v>301</v>
      </c>
      <c r="D8" s="1" t="s">
        <v>299</v>
      </c>
      <c r="E8" t="s">
        <v>300</v>
      </c>
      <c r="F8" s="1">
        <v>56</v>
      </c>
      <c r="G8" s="2" t="s">
        <v>323</v>
      </c>
      <c r="H8" s="2" t="str">
        <f t="shared" si="0"/>
        <v>EXECUTE [dbo].[PG_CI_ARCUSFIL_PROGRAM]  0, 0, 'WDK','2021 WK WD 2ND ROW ARMREST',56</v>
      </c>
      <c r="I8" s="3"/>
      <c r="J8" s="3"/>
    </row>
    <row r="9" spans="1:10" x14ac:dyDescent="0.2">
      <c r="A9">
        <v>4</v>
      </c>
      <c r="B9" s="1">
        <v>57</v>
      </c>
      <c r="C9" s="1" t="s">
        <v>298</v>
      </c>
      <c r="D9" s="1" t="s">
        <v>296</v>
      </c>
      <c r="E9" t="s">
        <v>297</v>
      </c>
      <c r="F9" s="1">
        <v>57</v>
      </c>
      <c r="G9" s="2" t="s">
        <v>323</v>
      </c>
      <c r="H9" s="2" t="str">
        <f t="shared" si="0"/>
        <v>EXECUTE [dbo].[PG_CI_ARCUSFIL_PROGRAM]  0, 0, 'WLE','2021 WL EISMANN',57</v>
      </c>
      <c r="I9" s="3"/>
      <c r="J9" s="3"/>
    </row>
    <row r="10" spans="1:10" x14ac:dyDescent="0.2">
      <c r="A10">
        <v>5</v>
      </c>
      <c r="B10" s="1">
        <v>51</v>
      </c>
      <c r="C10" s="1" t="s">
        <v>283</v>
      </c>
      <c r="D10" s="1" t="s">
        <v>294</v>
      </c>
      <c r="E10" t="s">
        <v>295</v>
      </c>
      <c r="F10" s="1">
        <v>51</v>
      </c>
      <c r="G10" s="2" t="s">
        <v>323</v>
      </c>
      <c r="H10" s="2" t="str">
        <f t="shared" si="0"/>
        <v>EXECUTE [dbo].[PG_CI_ARCUSFIL_PROGRAM]  0, 0, 'C3A','2021 WS BL-GL EEP 3RD ROW',51</v>
      </c>
      <c r="I10" s="3"/>
    </row>
    <row r="11" spans="1:10" x14ac:dyDescent="0.2">
      <c r="A11">
        <v>6</v>
      </c>
      <c r="B11" s="1">
        <v>51</v>
      </c>
      <c r="C11" s="1" t="s">
        <v>283</v>
      </c>
      <c r="D11" s="1" t="s">
        <v>292</v>
      </c>
      <c r="E11" t="s">
        <v>293</v>
      </c>
      <c r="F11" s="1">
        <v>51</v>
      </c>
      <c r="G11" s="2" t="s">
        <v>323</v>
      </c>
      <c r="H11" s="2" t="str">
        <f t="shared" si="0"/>
        <v>EXECUTE [dbo].[PG_CI_ARCUSFIL_PROGRAM]  0, 0, 'C3B','2021 WS AL JEEP 3RD ROW',51</v>
      </c>
      <c r="I11" s="3"/>
    </row>
    <row r="12" spans="1:10" x14ac:dyDescent="0.2">
      <c r="A12">
        <v>7</v>
      </c>
      <c r="B12" s="1">
        <v>51</v>
      </c>
      <c r="C12" s="1" t="s">
        <v>283</v>
      </c>
      <c r="D12" s="1" t="s">
        <v>290</v>
      </c>
      <c r="E12" t="s">
        <v>291</v>
      </c>
      <c r="F12" s="1">
        <v>51</v>
      </c>
      <c r="G12" s="2" t="s">
        <v>323</v>
      </c>
      <c r="H12" s="2" t="str">
        <f t="shared" si="0"/>
        <v>EXECUTE [dbo].[PG_CI_ARCUSFIL_PROGRAM]  0, 0, 'FW2','2021 WS JEEP SL NEVER QUILTED',51</v>
      </c>
      <c r="I12" s="3"/>
    </row>
    <row r="13" spans="1:10" x14ac:dyDescent="0.2">
      <c r="A13">
        <v>8</v>
      </c>
      <c r="B13" s="1">
        <v>51</v>
      </c>
      <c r="C13" s="1" t="s">
        <v>283</v>
      </c>
      <c r="D13" s="1" t="s">
        <v>288</v>
      </c>
      <c r="E13" t="s">
        <v>289</v>
      </c>
      <c r="F13" s="1">
        <v>51</v>
      </c>
      <c r="G13" s="2" t="s">
        <v>323</v>
      </c>
      <c r="H13" s="2" t="str">
        <f t="shared" si="0"/>
        <v>EXECUTE [dbo].[PG_CI_ARCUSFIL_PROGRAM]  0, 0, 'FWS','2021 WS AL JEEP BASE',51</v>
      </c>
      <c r="I13" s="3"/>
    </row>
    <row r="14" spans="1:10" x14ac:dyDescent="0.2">
      <c r="A14">
        <v>9</v>
      </c>
      <c r="B14" s="1">
        <v>51</v>
      </c>
      <c r="C14" s="1" t="s">
        <v>283</v>
      </c>
      <c r="D14" s="1" t="s">
        <v>286</v>
      </c>
      <c r="E14" t="s">
        <v>287</v>
      </c>
      <c r="F14" s="1">
        <v>51</v>
      </c>
      <c r="G14" s="2" t="s">
        <v>323</v>
      </c>
      <c r="H14" s="2" t="str">
        <f t="shared" si="0"/>
        <v>EXECUTE [dbo].[PG_CI_ARCUSFIL_PROGRAM]  0, 0, 'S3S','2021 WS SL JEEP 3RD ROW',51</v>
      </c>
      <c r="I14" s="3"/>
    </row>
    <row r="15" spans="1:10" x14ac:dyDescent="0.2">
      <c r="A15">
        <v>10</v>
      </c>
      <c r="B15" s="1">
        <v>51</v>
      </c>
      <c r="C15" s="1" t="s">
        <v>283</v>
      </c>
      <c r="D15" s="1" t="s">
        <v>284</v>
      </c>
      <c r="E15" t="s">
        <v>285</v>
      </c>
      <c r="F15" s="1">
        <v>51</v>
      </c>
      <c r="G15" s="2" t="s">
        <v>323</v>
      </c>
      <c r="H15" s="2" t="str">
        <f t="shared" si="0"/>
        <v>EXECUTE [dbo].[PG_CI_ARCUSFIL_PROGRAM]  0, 0, 'S3U','2021 WS UL JEEP 3RD ROW',51</v>
      </c>
      <c r="I15" s="3"/>
    </row>
    <row r="16" spans="1:10" x14ac:dyDescent="0.2">
      <c r="A16">
        <v>11</v>
      </c>
      <c r="B16" s="1">
        <v>51</v>
      </c>
      <c r="C16" s="1" t="s">
        <v>283</v>
      </c>
      <c r="D16" s="1" t="s">
        <v>281</v>
      </c>
      <c r="E16" t="s">
        <v>282</v>
      </c>
      <c r="F16" s="1">
        <v>51</v>
      </c>
      <c r="G16" s="2" t="s">
        <v>323</v>
      </c>
      <c r="H16" s="2" t="str">
        <f t="shared" si="0"/>
        <v>EXECUTE [dbo].[PG_CI_ARCUSFIL_PROGRAM]  0, 0, 'WS3','2021 WS UL ALWAYS QUILTED',51</v>
      </c>
      <c r="I16" s="3"/>
      <c r="J16" s="3"/>
    </row>
    <row r="17" spans="1:10" x14ac:dyDescent="0.2">
      <c r="A17">
        <v>12</v>
      </c>
      <c r="B17" s="1">
        <v>5</v>
      </c>
      <c r="C17" s="1" t="s">
        <v>280</v>
      </c>
      <c r="D17" s="1" t="s">
        <v>278</v>
      </c>
      <c r="E17" t="s">
        <v>279</v>
      </c>
      <c r="F17" s="1">
        <v>5</v>
      </c>
      <c r="G17" s="2" t="s">
        <v>323</v>
      </c>
      <c r="H17" s="2" t="str">
        <f t="shared" si="0"/>
        <v>EXECUTE [dbo].[PG_CI_ARCUSFIL_PROGRAM]  0, 0, 'MCY','U364 MERCURY LTD FINDALY',5</v>
      </c>
      <c r="J17" s="2"/>
    </row>
    <row r="18" spans="1:10" x14ac:dyDescent="0.2">
      <c r="A18">
        <v>13</v>
      </c>
      <c r="B18" s="1">
        <v>40</v>
      </c>
      <c r="C18" s="1" t="s">
        <v>277</v>
      </c>
      <c r="D18" s="1" t="s">
        <v>276</v>
      </c>
      <c r="E18" t="s">
        <v>267</v>
      </c>
      <c r="F18" s="1">
        <v>40</v>
      </c>
      <c r="G18" s="2" t="s">
        <v>323</v>
      </c>
      <c r="H18" s="2" t="str">
        <f t="shared" si="0"/>
        <v>EXECUTE [dbo].[PG_CI_ARCUSFIL_PROGRAM]  0, 0, 'GAR','U388 LINCOLN ARMREST',40</v>
      </c>
      <c r="I18" s="3"/>
      <c r="J18" s="2"/>
    </row>
    <row r="19" spans="1:10" x14ac:dyDescent="0.2">
      <c r="A19">
        <v>14</v>
      </c>
      <c r="B19" s="1">
        <v>54</v>
      </c>
      <c r="C19" s="1" t="s">
        <v>273</v>
      </c>
      <c r="D19" s="1" t="s">
        <v>313</v>
      </c>
      <c r="E19" t="s">
        <v>317</v>
      </c>
      <c r="F19" s="1">
        <v>54</v>
      </c>
      <c r="G19" s="2" t="s">
        <v>323</v>
      </c>
      <c r="H19" s="2" t="str">
        <f t="shared" si="0"/>
        <v>EXECUTE [dbo].[PG_CI_ARCUSFIL_PROGRAM]  0, 0, 'GR1','2021 WL 75 QUADS 2ND. ROW ARMR',54</v>
      </c>
      <c r="I19" s="3"/>
      <c r="J19" s="3"/>
    </row>
    <row r="20" spans="1:10" x14ac:dyDescent="0.2">
      <c r="A20">
        <v>15</v>
      </c>
      <c r="B20" s="1">
        <v>54</v>
      </c>
      <c r="C20" s="1" t="s">
        <v>273</v>
      </c>
      <c r="D20" s="1" t="s">
        <v>314</v>
      </c>
      <c r="E20" t="s">
        <v>318</v>
      </c>
      <c r="F20" s="1">
        <v>54</v>
      </c>
      <c r="G20" s="2" t="s">
        <v>323</v>
      </c>
      <c r="H20" s="2" t="str">
        <f t="shared" si="0"/>
        <v>EXECUTE [dbo].[PG_CI_ARCUSFIL_PROGRAM]  0, 0, 'GR2','WS FOLDING 2ND-ROW ARM REST',54</v>
      </c>
      <c r="I20" s="3"/>
      <c r="J20" s="3"/>
    </row>
    <row r="21" spans="1:10" x14ac:dyDescent="0.2">
      <c r="A21">
        <v>16</v>
      </c>
      <c r="B21" s="1">
        <v>54</v>
      </c>
      <c r="C21" s="1" t="s">
        <v>273</v>
      </c>
      <c r="D21" s="1" t="s">
        <v>315</v>
      </c>
      <c r="E21" t="s">
        <v>319</v>
      </c>
      <c r="F21" s="1">
        <v>54</v>
      </c>
      <c r="G21" s="2" t="s">
        <v>323</v>
      </c>
      <c r="H21" s="2" t="str">
        <f t="shared" si="0"/>
        <v>EXECUTE [dbo].[PG_CI_ARCUSFIL_PROGRAM]  0, 0, 'GRM','2021 WL 74/75 2ND. ROW ARMREST',54</v>
      </c>
      <c r="I21" s="3"/>
      <c r="J21" s="3"/>
    </row>
    <row r="22" spans="1:10" x14ac:dyDescent="0.2">
      <c r="A22">
        <v>17</v>
      </c>
      <c r="B22" s="1">
        <v>54</v>
      </c>
      <c r="C22" s="1" t="s">
        <v>273</v>
      </c>
      <c r="D22" s="1" t="s">
        <v>274</v>
      </c>
      <c r="E22" t="s">
        <v>275</v>
      </c>
      <c r="F22" s="1">
        <v>54</v>
      </c>
      <c r="G22" s="2" t="s">
        <v>323</v>
      </c>
      <c r="H22" s="2" t="str">
        <f t="shared" si="0"/>
        <v>EXECUTE [dbo].[PG_CI_ARCUSFIL_PROGRAM]  0, 0, 'GW2','2021 WL 75 QUADS 2ND. ROW AR',54</v>
      </c>
      <c r="I22" s="3"/>
      <c r="J22" s="2"/>
    </row>
    <row r="23" spans="1:10" x14ac:dyDescent="0.2">
      <c r="A23">
        <v>18</v>
      </c>
      <c r="B23" s="1">
        <v>54</v>
      </c>
      <c r="C23" s="1" t="s">
        <v>273</v>
      </c>
      <c r="D23" s="1" t="s">
        <v>271</v>
      </c>
      <c r="E23" t="s">
        <v>272</v>
      </c>
      <c r="F23" s="1">
        <v>54</v>
      </c>
      <c r="G23" s="2" t="s">
        <v>323</v>
      </c>
      <c r="H23" s="2" t="str">
        <f t="shared" si="0"/>
        <v>EXECUTE [dbo].[PG_CI_ARCUSFIL_PROGRAM]  0, 0, 'GWL','2021 WL 74/75 2ND. ROW ARMRE',54</v>
      </c>
      <c r="I23" s="3"/>
      <c r="J23" s="2"/>
    </row>
    <row r="24" spans="1:10" x14ac:dyDescent="0.2">
      <c r="A24">
        <v>19</v>
      </c>
      <c r="B24" s="1">
        <v>54</v>
      </c>
      <c r="C24" s="1" t="s">
        <v>273</v>
      </c>
      <c r="D24" s="1" t="s">
        <v>316</v>
      </c>
      <c r="E24" t="s">
        <v>320</v>
      </c>
      <c r="F24" s="1">
        <v>54</v>
      </c>
      <c r="G24" s="2" t="s">
        <v>323</v>
      </c>
      <c r="H24" s="2" t="str">
        <f t="shared" si="0"/>
        <v>EXECUTE [dbo].[PG_CI_ARCUSFIL_PROGRAM]  0, 0, 'GWS','2021 WS GRAN WAGONNER',54</v>
      </c>
      <c r="I24" s="3"/>
      <c r="J24" s="2"/>
    </row>
    <row r="25" spans="1:10" x14ac:dyDescent="0.2">
      <c r="A25">
        <v>20</v>
      </c>
      <c r="B25" s="1">
        <v>7</v>
      </c>
      <c r="C25" s="1" t="s">
        <v>235</v>
      </c>
      <c r="D25" s="1">
        <v>193</v>
      </c>
      <c r="E25" t="s">
        <v>270</v>
      </c>
      <c r="F25" s="1">
        <v>7</v>
      </c>
      <c r="G25" s="2" t="s">
        <v>323</v>
      </c>
      <c r="H25" s="2" t="str">
        <f t="shared" si="0"/>
        <v>EXECUTE [dbo].[PG_CI_ARCUSFIL_PROGRAM]  0, 0, '193','GMT 193 2007',7</v>
      </c>
      <c r="I25" s="3"/>
      <c r="J25" s="3"/>
    </row>
    <row r="26" spans="1:10" x14ac:dyDescent="0.2">
      <c r="A26">
        <v>21</v>
      </c>
      <c r="B26" s="1">
        <v>7</v>
      </c>
      <c r="C26" s="1" t="s">
        <v>235</v>
      </c>
      <c r="D26" s="1" t="s">
        <v>269</v>
      </c>
      <c r="E26" t="s">
        <v>99</v>
      </c>
      <c r="F26" s="1">
        <v>7</v>
      </c>
      <c r="G26" s="2" t="s">
        <v>323</v>
      </c>
      <c r="H26" s="2" t="str">
        <f t="shared" si="0"/>
        <v>EXECUTE [dbo].[PG_CI_ARCUSFIL_PROGRAM]  0, 0, '87C','U387 FORD CUTTING EDGE',7</v>
      </c>
      <c r="I26" s="3"/>
      <c r="J26" s="2"/>
    </row>
    <row r="27" spans="1:10" x14ac:dyDescent="0.2">
      <c r="A27">
        <v>22</v>
      </c>
      <c r="B27" s="1">
        <v>7</v>
      </c>
      <c r="C27" s="1" t="s">
        <v>235</v>
      </c>
      <c r="D27" s="1" t="s">
        <v>268</v>
      </c>
      <c r="E27" t="s">
        <v>102</v>
      </c>
      <c r="F27" s="1">
        <v>7</v>
      </c>
      <c r="G27" s="2" t="s">
        <v>323</v>
      </c>
      <c r="H27" s="2" t="str">
        <f t="shared" si="0"/>
        <v>EXECUTE [dbo].[PG_CI_ARCUSFIL_PROGRAM]  0, 0, '87P','U387 FORD PREMIUM',7</v>
      </c>
      <c r="J27" s="2"/>
    </row>
    <row r="28" spans="1:10" x14ac:dyDescent="0.2">
      <c r="A28">
        <v>23</v>
      </c>
      <c r="B28" s="1">
        <v>7</v>
      </c>
      <c r="C28" s="1" t="s">
        <v>235</v>
      </c>
      <c r="D28" s="1" t="s">
        <v>266</v>
      </c>
      <c r="E28" t="s">
        <v>267</v>
      </c>
      <c r="F28" s="1">
        <v>7</v>
      </c>
      <c r="G28" s="2" t="s">
        <v>323</v>
      </c>
      <c r="H28" s="2" t="str">
        <f t="shared" si="0"/>
        <v>EXECUTE [dbo].[PG_CI_ARCUSFIL_PROGRAM]  0, 0, '88A','U388 LINCOLN ARMREST',7</v>
      </c>
      <c r="J28" s="2"/>
    </row>
    <row r="29" spans="1:10" x14ac:dyDescent="0.2">
      <c r="A29">
        <v>24</v>
      </c>
      <c r="B29" s="1">
        <v>7</v>
      </c>
      <c r="C29" s="1" t="s">
        <v>235</v>
      </c>
      <c r="D29" s="1" t="s">
        <v>265</v>
      </c>
      <c r="E29" t="s">
        <v>20</v>
      </c>
      <c r="F29" s="1">
        <v>7</v>
      </c>
      <c r="G29" s="2" t="s">
        <v>323</v>
      </c>
      <c r="H29" s="2" t="str">
        <f t="shared" si="0"/>
        <v>EXECUTE [dbo].[PG_CI_ARCUSFIL_PROGRAM]  0, 0, '88H','U388 HEADREST',7</v>
      </c>
      <c r="I29" s="3"/>
      <c r="J29" s="3"/>
    </row>
    <row r="30" spans="1:10" x14ac:dyDescent="0.2">
      <c r="A30">
        <v>25</v>
      </c>
      <c r="B30" s="1">
        <v>7</v>
      </c>
      <c r="C30" s="1" t="s">
        <v>235</v>
      </c>
      <c r="D30" s="1" t="s">
        <v>264</v>
      </c>
      <c r="E30" t="s">
        <v>95</v>
      </c>
      <c r="F30" s="1">
        <v>7</v>
      </c>
      <c r="G30" s="2" t="s">
        <v>323</v>
      </c>
      <c r="H30" s="2" t="str">
        <f t="shared" si="0"/>
        <v>EXECUTE [dbo].[PG_CI_ARCUSFIL_PROGRAM]  0, 0, '88L','U388 LINCOLN LIMITED',7</v>
      </c>
      <c r="I30" s="3"/>
      <c r="J30" s="3"/>
    </row>
    <row r="31" spans="1:10" x14ac:dyDescent="0.2">
      <c r="A31">
        <v>26</v>
      </c>
      <c r="B31" s="1">
        <v>7</v>
      </c>
      <c r="C31" s="1" t="s">
        <v>235</v>
      </c>
      <c r="D31" s="1" t="s">
        <v>262</v>
      </c>
      <c r="E31" t="s">
        <v>263</v>
      </c>
      <c r="F31" s="1">
        <v>7</v>
      </c>
      <c r="G31" s="2" t="s">
        <v>323</v>
      </c>
      <c r="H31" s="2" t="str">
        <f t="shared" si="0"/>
        <v>EXECUTE [dbo].[PG_CI_ARCUSFIL_PROGRAM]  0, 0, 'GM1','GMT 191 PONTIAC TORRENT',7</v>
      </c>
      <c r="I31" s="3"/>
      <c r="J31" s="2"/>
    </row>
    <row r="32" spans="1:10" x14ac:dyDescent="0.2">
      <c r="A32">
        <v>27</v>
      </c>
      <c r="B32" s="1">
        <v>7</v>
      </c>
      <c r="C32" s="1" t="s">
        <v>235</v>
      </c>
      <c r="D32" s="1" t="s">
        <v>260</v>
      </c>
      <c r="E32" t="s">
        <v>261</v>
      </c>
      <c r="F32" s="1">
        <v>7</v>
      </c>
      <c r="G32" s="2" t="s">
        <v>323</v>
      </c>
      <c r="H32" s="2" t="str">
        <f t="shared" si="0"/>
        <v>EXECUTE [dbo].[PG_CI_ARCUSFIL_PROGRAM]  0, 0, 'GM2','GMT 192 PONTIAC PERSUIT',7</v>
      </c>
      <c r="I32" s="3"/>
      <c r="J32" s="2"/>
    </row>
    <row r="33" spans="1:10" x14ac:dyDescent="0.2">
      <c r="A33">
        <v>28</v>
      </c>
      <c r="B33" s="1">
        <v>7</v>
      </c>
      <c r="C33" s="1" t="s">
        <v>235</v>
      </c>
      <c r="D33" s="1" t="s">
        <v>259</v>
      </c>
      <c r="E33" t="s">
        <v>230</v>
      </c>
      <c r="F33" s="1">
        <v>7</v>
      </c>
      <c r="G33" s="2" t="s">
        <v>323</v>
      </c>
      <c r="H33" s="2" t="str">
        <f t="shared" si="0"/>
        <v>EXECUTE [dbo].[PG_CI_ARCUSFIL_PROGRAM]  0, 0, 'GM3','ARMREST GMT 193',7</v>
      </c>
      <c r="I33" s="3"/>
      <c r="J33" s="2"/>
    </row>
    <row r="34" spans="1:10" x14ac:dyDescent="0.2">
      <c r="A34">
        <v>29</v>
      </c>
      <c r="B34" s="1">
        <v>7</v>
      </c>
      <c r="C34" s="1" t="s">
        <v>235</v>
      </c>
      <c r="D34" s="1" t="s">
        <v>258</v>
      </c>
      <c r="E34" t="s">
        <v>225</v>
      </c>
      <c r="F34" s="1">
        <v>7</v>
      </c>
      <c r="G34" s="2" t="s">
        <v>323</v>
      </c>
      <c r="H34" s="2" t="str">
        <f t="shared" si="0"/>
        <v>EXECUTE [dbo].[PG_CI_ARCUSFIL_PROGRAM]  0, 0, 'GXP','GMT 192 GXP 2008',7</v>
      </c>
      <c r="I34" s="3"/>
      <c r="J34" s="2"/>
    </row>
    <row r="35" spans="1:10" x14ac:dyDescent="0.2">
      <c r="A35">
        <v>30</v>
      </c>
      <c r="B35" s="1">
        <v>7</v>
      </c>
      <c r="C35" s="1" t="s">
        <v>235</v>
      </c>
      <c r="D35" s="1" t="s">
        <v>256</v>
      </c>
      <c r="E35" t="s">
        <v>257</v>
      </c>
      <c r="F35" s="1">
        <v>7</v>
      </c>
      <c r="G35" s="2" t="s">
        <v>323</v>
      </c>
      <c r="H35" s="2" t="str">
        <f t="shared" si="0"/>
        <v>EXECUTE [dbo].[PG_CI_ARCUSFIL_PROGRAM]  0, 0, 'JJT','2019 JEEP JT',7</v>
      </c>
      <c r="I35" s="3"/>
      <c r="J35" s="2"/>
    </row>
    <row r="36" spans="1:10" x14ac:dyDescent="0.2">
      <c r="A36">
        <v>31</v>
      </c>
      <c r="B36" s="1">
        <v>7</v>
      </c>
      <c r="C36" s="1" t="s">
        <v>235</v>
      </c>
      <c r="D36" s="1" t="s">
        <v>254</v>
      </c>
      <c r="E36" t="s">
        <v>255</v>
      </c>
      <c r="F36" s="1">
        <v>7</v>
      </c>
      <c r="G36" s="2" t="s">
        <v>323</v>
      </c>
      <c r="H36" s="2" t="str">
        <f t="shared" si="0"/>
        <v>EXECUTE [dbo].[PG_CI_ARCUSFIL_PROGRAM]  0, 0, 'JLI','2018 JEEP JL',7</v>
      </c>
      <c r="I36" s="3"/>
      <c r="J36" s="2"/>
    </row>
    <row r="37" spans="1:10" x14ac:dyDescent="0.2">
      <c r="A37">
        <v>32</v>
      </c>
      <c r="B37" s="1">
        <v>7</v>
      </c>
      <c r="C37" s="1" t="s">
        <v>235</v>
      </c>
      <c r="D37" s="1" t="s">
        <v>252</v>
      </c>
      <c r="E37" t="s">
        <v>253</v>
      </c>
      <c r="F37" s="1">
        <v>7</v>
      </c>
      <c r="G37" s="2" t="s">
        <v>323</v>
      </c>
      <c r="H37" s="2" t="str">
        <f t="shared" si="0"/>
        <v>EXECUTE [dbo].[PG_CI_ARCUSFIL_PROGRAM]  0, 0, 'JPH','2020 JEEP JL PHEV',7</v>
      </c>
      <c r="I37" s="3"/>
      <c r="J37" s="2"/>
    </row>
    <row r="38" spans="1:10" x14ac:dyDescent="0.2">
      <c r="A38">
        <v>33</v>
      </c>
      <c r="B38" s="1">
        <v>7</v>
      </c>
      <c r="C38" s="1" t="s">
        <v>235</v>
      </c>
      <c r="D38" s="1" t="s">
        <v>250</v>
      </c>
      <c r="E38" t="s">
        <v>251</v>
      </c>
      <c r="F38" s="1">
        <v>7</v>
      </c>
      <c r="G38" s="2" t="s">
        <v>323</v>
      </c>
      <c r="H38" s="2" t="str">
        <f t="shared" si="0"/>
        <v>EXECUTE [dbo].[PG_CI_ARCUSFIL_PROGRAM]  0, 0, 'JPS','2021 JEEP JL PHEV SUMMIT',7</v>
      </c>
      <c r="J38" s="2"/>
    </row>
    <row r="39" spans="1:10" x14ac:dyDescent="0.2">
      <c r="A39">
        <v>34</v>
      </c>
      <c r="B39" s="1">
        <v>7</v>
      </c>
      <c r="C39" s="1" t="s">
        <v>235</v>
      </c>
      <c r="D39" s="1" t="s">
        <v>248</v>
      </c>
      <c r="E39" t="s">
        <v>249</v>
      </c>
      <c r="F39" s="1">
        <v>7</v>
      </c>
      <c r="G39" s="2" t="s">
        <v>323</v>
      </c>
      <c r="H39" s="2" t="str">
        <f t="shared" si="0"/>
        <v>EXECUTE [dbo].[PG_CI_ARCUSFIL_PROGRAM]  0, 0, 'JSU','JEEPJL SUMMIT',7</v>
      </c>
      <c r="J39" s="2"/>
    </row>
    <row r="40" spans="1:10" x14ac:dyDescent="0.2">
      <c r="A40">
        <v>35</v>
      </c>
      <c r="B40" s="1">
        <v>7</v>
      </c>
      <c r="C40" s="1" t="s">
        <v>235</v>
      </c>
      <c r="D40" s="1" t="s">
        <v>246</v>
      </c>
      <c r="E40" t="s">
        <v>247</v>
      </c>
      <c r="F40" s="1">
        <v>7</v>
      </c>
      <c r="G40" s="2" t="s">
        <v>323</v>
      </c>
      <c r="H40" s="2" t="str">
        <f t="shared" si="0"/>
        <v>EXECUTE [dbo].[PG_CI_ARCUSFIL_PROGRAM]  0, 0, 'JTM','2019 JEEP JT MOJAVE',7</v>
      </c>
      <c r="J40" s="3"/>
    </row>
    <row r="41" spans="1:10" x14ac:dyDescent="0.2">
      <c r="A41">
        <v>36</v>
      </c>
      <c r="B41" s="1">
        <v>7</v>
      </c>
      <c r="C41" s="1" t="s">
        <v>235</v>
      </c>
      <c r="D41" s="1" t="s">
        <v>244</v>
      </c>
      <c r="E41" t="s">
        <v>245</v>
      </c>
      <c r="F41" s="1">
        <v>7</v>
      </c>
      <c r="G41" s="2" t="s">
        <v>323</v>
      </c>
      <c r="H41" s="2" t="str">
        <f t="shared" si="0"/>
        <v>EXECUTE [dbo].[PG_CI_ARCUSFIL_PROGRAM]  0, 0, 'JTS','2021 JEEP JT SUMMIT',7</v>
      </c>
      <c r="J41" s="3"/>
    </row>
    <row r="42" spans="1:10" x14ac:dyDescent="0.2">
      <c r="A42">
        <v>37</v>
      </c>
      <c r="B42" s="1">
        <v>7</v>
      </c>
      <c r="C42" s="1" t="s">
        <v>235</v>
      </c>
      <c r="D42" s="1" t="s">
        <v>242</v>
      </c>
      <c r="E42" t="s">
        <v>243</v>
      </c>
      <c r="F42" s="1">
        <v>7</v>
      </c>
      <c r="G42" s="2" t="s">
        <v>323</v>
      </c>
      <c r="H42" s="2" t="str">
        <f t="shared" si="0"/>
        <v>EXECUTE [dbo].[PG_CI_ARCUSFIL_PROGRAM]  0, 0, 'VFL','V229 FORD FREESTAR LTD',7</v>
      </c>
      <c r="I42" s="3"/>
    </row>
    <row r="43" spans="1:10" x14ac:dyDescent="0.2">
      <c r="A43">
        <v>38</v>
      </c>
      <c r="B43" s="1">
        <v>7</v>
      </c>
      <c r="C43" s="1" t="s">
        <v>235</v>
      </c>
      <c r="D43" s="1" t="s">
        <v>240</v>
      </c>
      <c r="E43" t="s">
        <v>241</v>
      </c>
      <c r="F43" s="1">
        <v>7</v>
      </c>
      <c r="G43" s="2" t="s">
        <v>323</v>
      </c>
      <c r="H43" s="2" t="str">
        <f t="shared" si="0"/>
        <v>EXECUTE [dbo].[PG_CI_ARCUSFIL_PROGRAM]  0, 0, 'VML','V229 FREESTAR MERCURY LTD',7</v>
      </c>
      <c r="I43" s="3"/>
      <c r="J43" s="3"/>
    </row>
    <row r="44" spans="1:10" x14ac:dyDescent="0.2">
      <c r="A44">
        <v>39</v>
      </c>
      <c r="B44" s="1">
        <v>7</v>
      </c>
      <c r="C44" s="1" t="s">
        <v>235</v>
      </c>
      <c r="D44" s="1" t="s">
        <v>238</v>
      </c>
      <c r="E44" t="s">
        <v>239</v>
      </c>
      <c r="F44" s="1">
        <v>7</v>
      </c>
      <c r="G44" s="2" t="s">
        <v>323</v>
      </c>
      <c r="H44" s="2" t="str">
        <f t="shared" si="0"/>
        <v>EXECUTE [dbo].[PG_CI_ARCUSFIL_PROGRAM]  0, 0, 'VMP','V229 FREESTAR MPA',7</v>
      </c>
      <c r="I44" s="3"/>
      <c r="J44" s="3"/>
    </row>
    <row r="45" spans="1:10" x14ac:dyDescent="0.2">
      <c r="A45">
        <v>40</v>
      </c>
      <c r="B45" s="1">
        <v>7</v>
      </c>
      <c r="C45" s="1" t="s">
        <v>235</v>
      </c>
      <c r="D45" s="1" t="s">
        <v>236</v>
      </c>
      <c r="E45" t="s">
        <v>237</v>
      </c>
      <c r="F45" s="1">
        <v>7</v>
      </c>
      <c r="G45" s="2" t="s">
        <v>323</v>
      </c>
      <c r="H45" s="2" t="str">
        <f t="shared" si="0"/>
        <v>EXECUTE [dbo].[PG_CI_ARCUSFIL_PROGRAM]  0, 0, 'VMX','V229 FREESTAR MXA',7</v>
      </c>
      <c r="I45" s="3"/>
      <c r="J45" s="3"/>
    </row>
    <row r="46" spans="1:10" x14ac:dyDescent="0.2">
      <c r="A46">
        <v>41</v>
      </c>
      <c r="B46" s="1">
        <v>7</v>
      </c>
      <c r="C46" s="1" t="s">
        <v>235</v>
      </c>
      <c r="D46" s="1" t="s">
        <v>233</v>
      </c>
      <c r="E46" t="s">
        <v>234</v>
      </c>
      <c r="F46" s="1">
        <v>7</v>
      </c>
      <c r="G46" s="2" t="s">
        <v>323</v>
      </c>
      <c r="H46" s="2" t="str">
        <f t="shared" si="0"/>
        <v>EXECUTE [dbo].[PG_CI_ARCUSFIL_PROGRAM]  0, 0, 'WLS','WLS JEEP 2020',7</v>
      </c>
      <c r="I46" s="3"/>
      <c r="J46" s="3"/>
    </row>
    <row r="47" spans="1:10" x14ac:dyDescent="0.2">
      <c r="A47">
        <v>42</v>
      </c>
      <c r="B47" s="1">
        <v>34</v>
      </c>
      <c r="C47" s="1" t="s">
        <v>226</v>
      </c>
      <c r="D47" s="1">
        <v>191</v>
      </c>
      <c r="E47" t="s">
        <v>232</v>
      </c>
      <c r="F47" s="1">
        <v>34</v>
      </c>
      <c r="G47" s="2" t="s">
        <v>323</v>
      </c>
      <c r="H47" s="2" t="str">
        <f t="shared" si="0"/>
        <v>EXECUTE [dbo].[PG_CI_ARCUSFIL_PROGRAM]  0, 0, '191','GMT 191 2008',34</v>
      </c>
      <c r="I47" s="3"/>
      <c r="J47" s="3"/>
    </row>
    <row r="48" spans="1:10" x14ac:dyDescent="0.2">
      <c r="A48">
        <v>43</v>
      </c>
      <c r="B48" s="1">
        <v>34</v>
      </c>
      <c r="C48" s="1" t="s">
        <v>226</v>
      </c>
      <c r="D48" s="1">
        <v>192</v>
      </c>
      <c r="E48" t="s">
        <v>231</v>
      </c>
      <c r="F48" s="1">
        <v>34</v>
      </c>
      <c r="G48" s="2" t="s">
        <v>323</v>
      </c>
      <c r="H48" s="2" t="str">
        <f t="shared" si="0"/>
        <v>EXECUTE [dbo].[PG_CI_ARCUSFIL_PROGRAM]  0, 0, '192','GMT 192 2008',34</v>
      </c>
      <c r="I48" s="3"/>
      <c r="J48" s="3"/>
    </row>
    <row r="49" spans="1:10" x14ac:dyDescent="0.2">
      <c r="A49">
        <v>44</v>
      </c>
      <c r="B49" s="1">
        <v>34</v>
      </c>
      <c r="C49" s="1" t="s">
        <v>226</v>
      </c>
      <c r="D49" s="1" t="s">
        <v>229</v>
      </c>
      <c r="E49" t="s">
        <v>230</v>
      </c>
      <c r="F49" s="1">
        <v>34</v>
      </c>
      <c r="G49" s="2" t="s">
        <v>323</v>
      </c>
      <c r="H49" s="2" t="str">
        <f t="shared" si="0"/>
        <v>EXECUTE [dbo].[PG_CI_ARCUSFIL_PROGRAM]  0, 0, 'ARM','ARMREST GMT 193',34</v>
      </c>
      <c r="I49" s="3"/>
      <c r="J49" s="3"/>
    </row>
    <row r="50" spans="1:10" x14ac:dyDescent="0.2">
      <c r="A50">
        <v>45</v>
      </c>
      <c r="B50" s="1">
        <v>34</v>
      </c>
      <c r="C50" s="1" t="s">
        <v>226</v>
      </c>
      <c r="D50" s="1" t="s">
        <v>227</v>
      </c>
      <c r="E50" t="s">
        <v>228</v>
      </c>
      <c r="F50" s="1">
        <v>34</v>
      </c>
      <c r="G50" s="2" t="s">
        <v>323</v>
      </c>
      <c r="H50" s="2" t="str">
        <f t="shared" si="0"/>
        <v>EXECUTE [dbo].[PG_CI_ARCUSFIL_PROGRAM]  0, 0, 'G93','GMT 193 2008',34</v>
      </c>
      <c r="I50" s="3"/>
      <c r="J50" s="3"/>
    </row>
    <row r="51" spans="1:10" x14ac:dyDescent="0.2">
      <c r="A51">
        <v>46</v>
      </c>
      <c r="B51" s="1">
        <v>34</v>
      </c>
      <c r="C51" s="1" t="s">
        <v>226</v>
      </c>
      <c r="D51" s="1" t="s">
        <v>224</v>
      </c>
      <c r="E51" t="s">
        <v>225</v>
      </c>
      <c r="F51" s="1">
        <v>34</v>
      </c>
      <c r="G51" s="2" t="s">
        <v>323</v>
      </c>
      <c r="H51" s="2" t="str">
        <f t="shared" si="0"/>
        <v>EXECUTE [dbo].[PG_CI_ARCUSFIL_PROGRAM]  0, 0, 'GX2','GMT 192 GXP 2008',34</v>
      </c>
      <c r="I51" s="3"/>
      <c r="J51" s="2"/>
    </row>
    <row r="52" spans="1:10" x14ac:dyDescent="0.2">
      <c r="A52">
        <v>47</v>
      </c>
      <c r="B52" s="1">
        <v>32</v>
      </c>
      <c r="C52" s="1" t="s">
        <v>223</v>
      </c>
      <c r="D52" s="1" t="s">
        <v>221</v>
      </c>
      <c r="E52" t="s">
        <v>222</v>
      </c>
      <c r="F52" s="1">
        <v>32</v>
      </c>
      <c r="G52" s="2" t="s">
        <v>323</v>
      </c>
      <c r="H52" s="2" t="str">
        <f t="shared" si="0"/>
        <v>EXECUTE [dbo].[PG_CI_ARCUSFIL_PROGRAM]  0, 0, 'PL0','U388 CONSOLE',32</v>
      </c>
      <c r="J52" s="2"/>
    </row>
    <row r="53" spans="1:10" x14ac:dyDescent="0.2">
      <c r="A53">
        <v>48</v>
      </c>
      <c r="B53" s="1">
        <v>9</v>
      </c>
      <c r="C53" s="1" t="s">
        <v>217</v>
      </c>
      <c r="D53" s="1">
        <v>114</v>
      </c>
      <c r="E53" t="s">
        <v>220</v>
      </c>
      <c r="F53" s="1">
        <v>9</v>
      </c>
      <c r="G53" s="2" t="s">
        <v>323</v>
      </c>
      <c r="H53" s="2" t="str">
        <f t="shared" si="0"/>
        <v>EXECUTE [dbo].[PG_CI_ARCUSFIL_PROGRAM]  0, 0, '114','EN114 CONSOLE JCI',9</v>
      </c>
      <c r="I53" s="3"/>
      <c r="J53" s="3"/>
    </row>
    <row r="54" spans="1:10" x14ac:dyDescent="0.2">
      <c r="A54">
        <v>49</v>
      </c>
      <c r="B54" s="1">
        <v>9</v>
      </c>
      <c r="C54" s="1" t="s">
        <v>217</v>
      </c>
      <c r="D54" s="1" t="s">
        <v>218</v>
      </c>
      <c r="E54" t="s">
        <v>219</v>
      </c>
      <c r="F54" s="1">
        <v>9</v>
      </c>
      <c r="G54" s="2" t="s">
        <v>323</v>
      </c>
      <c r="H54" s="2" t="str">
        <f t="shared" si="0"/>
        <v>EXECUTE [dbo].[PG_CI_ARCUSFIL_PROGRAM]  0, 0, 'CHI','GM360 CHEVY / ISUZU /GMC CHINA',9</v>
      </c>
      <c r="I54" s="3"/>
      <c r="J54" s="2"/>
    </row>
    <row r="55" spans="1:10" x14ac:dyDescent="0.2">
      <c r="A55">
        <v>50</v>
      </c>
      <c r="B55" s="1">
        <v>9</v>
      </c>
      <c r="C55" s="1" t="s">
        <v>217</v>
      </c>
      <c r="D55" s="1" t="s">
        <v>215</v>
      </c>
      <c r="E55" t="s">
        <v>216</v>
      </c>
      <c r="F55" s="1">
        <v>9</v>
      </c>
      <c r="G55" s="2" t="s">
        <v>323</v>
      </c>
      <c r="H55" s="2" t="str">
        <f t="shared" si="0"/>
        <v>EXECUTE [dbo].[PG_CI_ARCUSFIL_PROGRAM]  0, 0, 'JCT','JCI-TESLA',9</v>
      </c>
      <c r="I55" s="3"/>
      <c r="J55" s="3"/>
    </row>
    <row r="56" spans="1:10" x14ac:dyDescent="0.2">
      <c r="A56">
        <v>51</v>
      </c>
      <c r="B56" s="1">
        <v>37</v>
      </c>
      <c r="C56" s="1" t="s">
        <v>202</v>
      </c>
      <c r="D56" s="1">
        <v>228</v>
      </c>
      <c r="E56" t="s">
        <v>214</v>
      </c>
      <c r="F56" s="1">
        <v>37</v>
      </c>
      <c r="G56" s="2" t="s">
        <v>323</v>
      </c>
      <c r="H56" s="2" t="str">
        <f t="shared" si="0"/>
        <v>EXECUTE [dbo].[PG_CI_ARCUSFIL_PROGRAM]  0, 0, '228','U228 NAVIGATOR LUX/ULT',37</v>
      </c>
      <c r="J56" s="3"/>
    </row>
    <row r="57" spans="1:10" x14ac:dyDescent="0.2">
      <c r="A57">
        <v>52</v>
      </c>
      <c r="B57" s="1">
        <v>37</v>
      </c>
      <c r="C57" s="1" t="s">
        <v>202</v>
      </c>
      <c r="D57" s="1">
        <v>415</v>
      </c>
      <c r="E57" t="s">
        <v>213</v>
      </c>
      <c r="F57" s="1">
        <v>37</v>
      </c>
      <c r="G57" s="2" t="s">
        <v>323</v>
      </c>
      <c r="H57" s="2" t="str">
        <f t="shared" si="0"/>
        <v>EXECUTE [dbo].[PG_CI_ARCUSFIL_PROGRAM]  0, 0, '415','P415 PLATINIUM',37</v>
      </c>
      <c r="J57" s="3"/>
    </row>
    <row r="58" spans="1:10" x14ac:dyDescent="0.2">
      <c r="A58">
        <v>53</v>
      </c>
      <c r="B58" s="1">
        <v>37</v>
      </c>
      <c r="C58" s="1" t="s">
        <v>202</v>
      </c>
      <c r="D58" s="1" t="s">
        <v>211</v>
      </c>
      <c r="E58" t="s">
        <v>212</v>
      </c>
      <c r="F58" s="1">
        <v>37</v>
      </c>
      <c r="G58" s="2" t="s">
        <v>323</v>
      </c>
      <c r="H58" s="2" t="str">
        <f t="shared" si="0"/>
        <v>EXECUTE [dbo].[PG_CI_ARCUSFIL_PROGRAM]  0, 0, 'BUI','GM 360 BUICK',37</v>
      </c>
      <c r="J58" s="2"/>
    </row>
    <row r="59" spans="1:10" x14ac:dyDescent="0.2">
      <c r="A59">
        <v>54</v>
      </c>
      <c r="B59" s="1">
        <v>37</v>
      </c>
      <c r="C59" s="1" t="s">
        <v>202</v>
      </c>
      <c r="D59" s="1" t="s">
        <v>209</v>
      </c>
      <c r="E59" t="s">
        <v>210</v>
      </c>
      <c r="F59" s="1">
        <v>37</v>
      </c>
      <c r="G59" s="2" t="s">
        <v>323</v>
      </c>
      <c r="H59" s="2" t="str">
        <f t="shared" si="0"/>
        <v>EXECUTE [dbo].[PG_CI_ARCUSFIL_PROGRAM]  0, 0, 'CHE','GM 360 CHEVY / ISUZU / GMC',37</v>
      </c>
      <c r="I59" s="3"/>
      <c r="J59" s="2"/>
    </row>
    <row r="60" spans="1:10" x14ac:dyDescent="0.2">
      <c r="A60">
        <v>55</v>
      </c>
      <c r="B60" s="1">
        <v>37</v>
      </c>
      <c r="C60" s="1" t="s">
        <v>202</v>
      </c>
      <c r="D60" s="1" t="s">
        <v>207</v>
      </c>
      <c r="E60" t="s">
        <v>208</v>
      </c>
      <c r="F60" s="1">
        <v>37</v>
      </c>
      <c r="G60" s="2" t="s">
        <v>323</v>
      </c>
      <c r="H60" s="2" t="str">
        <f t="shared" si="0"/>
        <v>EXECUTE [dbo].[PG_CI_ARCUSFIL_PROGRAM]  0, 0, 'DEN','GM 360 DENALY',37</v>
      </c>
      <c r="I60" s="3"/>
      <c r="J60" s="3"/>
    </row>
    <row r="61" spans="1:10" x14ac:dyDescent="0.2">
      <c r="A61">
        <v>56</v>
      </c>
      <c r="B61" s="1">
        <v>37</v>
      </c>
      <c r="C61" s="1" t="s">
        <v>202</v>
      </c>
      <c r="D61" s="1" t="s">
        <v>205</v>
      </c>
      <c r="E61" t="s">
        <v>206</v>
      </c>
      <c r="F61" s="1">
        <v>37</v>
      </c>
      <c r="G61" s="2" t="s">
        <v>323</v>
      </c>
      <c r="H61" s="2" t="str">
        <f t="shared" si="0"/>
        <v>EXECUTE [dbo].[PG_CI_ARCUSFIL_PROGRAM]  0, 0, 'GSS','GM 360 TRAILBLAZER SS',37</v>
      </c>
      <c r="J61" s="3"/>
    </row>
    <row r="62" spans="1:10" x14ac:dyDescent="0.2">
      <c r="A62">
        <v>57</v>
      </c>
      <c r="B62" s="1">
        <v>37</v>
      </c>
      <c r="C62" s="1" t="s">
        <v>202</v>
      </c>
      <c r="D62" s="1" t="s">
        <v>203</v>
      </c>
      <c r="E62" t="s">
        <v>204</v>
      </c>
      <c r="F62" s="1">
        <v>37</v>
      </c>
      <c r="G62" s="2" t="s">
        <v>323</v>
      </c>
      <c r="H62" s="2" t="str">
        <f t="shared" si="0"/>
        <v>EXECUTE [dbo].[PG_CI_ARCUSFIL_PROGRAM]  0, 0, 'NAV','U228 NAVIGATOR LUX EDIASA 3',37</v>
      </c>
      <c r="I62" s="3"/>
      <c r="J62" s="3"/>
    </row>
    <row r="63" spans="1:10" x14ac:dyDescent="0.2">
      <c r="A63">
        <v>58</v>
      </c>
      <c r="B63" s="1">
        <v>37</v>
      </c>
      <c r="C63" s="1" t="s">
        <v>202</v>
      </c>
      <c r="D63" s="1" t="s">
        <v>200</v>
      </c>
      <c r="E63" t="s">
        <v>201</v>
      </c>
      <c r="F63" s="1">
        <v>37</v>
      </c>
      <c r="G63" s="2" t="s">
        <v>323</v>
      </c>
      <c r="H63" s="2" t="str">
        <f t="shared" si="0"/>
        <v>EXECUTE [dbo].[PG_CI_ARCUSFIL_PROGRAM]  0, 0, 'SAA','GM 360 SAAB',37</v>
      </c>
      <c r="I63" s="3"/>
      <c r="J63" s="3"/>
    </row>
    <row r="64" spans="1:10" x14ac:dyDescent="0.2">
      <c r="A64">
        <v>59</v>
      </c>
      <c r="B64" s="1">
        <v>38</v>
      </c>
      <c r="C64" s="1" t="s">
        <v>197</v>
      </c>
      <c r="D64" s="1" t="s">
        <v>198</v>
      </c>
      <c r="E64" t="s">
        <v>199</v>
      </c>
      <c r="F64" s="1">
        <v>38</v>
      </c>
      <c r="G64" s="2" t="s">
        <v>323</v>
      </c>
      <c r="H64" s="2" t="str">
        <f t="shared" si="0"/>
        <v>EXECUTE [dbo].[PG_CI_ARCUSFIL_PROGRAM]  0, 0, 'SHA','GM 360 CHEVY/ISUZU/GMC SHANGAI',38</v>
      </c>
      <c r="J64" s="3"/>
    </row>
    <row r="65" spans="1:10" x14ac:dyDescent="0.2">
      <c r="A65">
        <v>60</v>
      </c>
      <c r="B65" s="1">
        <v>38</v>
      </c>
      <c r="C65" s="1" t="s">
        <v>197</v>
      </c>
      <c r="D65" s="1" t="s">
        <v>195</v>
      </c>
      <c r="E65" t="s">
        <v>196</v>
      </c>
      <c r="F65" s="1">
        <v>38</v>
      </c>
      <c r="G65" s="2" t="s">
        <v>323</v>
      </c>
      <c r="H65" s="2" t="str">
        <f t="shared" si="0"/>
        <v>EXECUTE [dbo].[PG_CI_ARCUSFIL_PROGRAM]  0, 0, 'SHI','GM360 CHEVY SHANGAI',38</v>
      </c>
    </row>
    <row r="66" spans="1:10" x14ac:dyDescent="0.2">
      <c r="A66">
        <v>61</v>
      </c>
      <c r="B66" s="1">
        <v>39</v>
      </c>
      <c r="C66" s="1" t="s">
        <v>194</v>
      </c>
      <c r="D66" s="1" t="s">
        <v>193</v>
      </c>
      <c r="E66" t="s">
        <v>20</v>
      </c>
      <c r="F66" s="1">
        <v>39</v>
      </c>
      <c r="G66" s="2" t="s">
        <v>323</v>
      </c>
      <c r="H66" s="2" t="str">
        <f t="shared" si="0"/>
        <v>EXECUTE [dbo].[PG_CI_ARCUSFIL_PROGRAM]  0, 0, 'KHE','U388 HEADREST',39</v>
      </c>
      <c r="J66" s="3"/>
    </row>
    <row r="67" spans="1:10" x14ac:dyDescent="0.2">
      <c r="A67">
        <v>62</v>
      </c>
      <c r="B67" s="1">
        <v>13</v>
      </c>
      <c r="C67" s="1" t="s">
        <v>175</v>
      </c>
      <c r="D67" s="1">
        <v>365</v>
      </c>
      <c r="E67" t="s">
        <v>192</v>
      </c>
      <c r="F67" s="1">
        <v>13</v>
      </c>
      <c r="G67" s="2" t="s">
        <v>323</v>
      </c>
      <c r="H67" s="2" t="str">
        <f t="shared" si="0"/>
        <v>EXECUTE [dbo].[PG_CI_ARCUSFIL_PROGRAM]  0, 0, '365','GMX 365 2008 FIXED',13</v>
      </c>
      <c r="J67" s="3"/>
    </row>
    <row r="68" spans="1:10" x14ac:dyDescent="0.2">
      <c r="A68">
        <v>63</v>
      </c>
      <c r="B68" s="1">
        <v>13</v>
      </c>
      <c r="C68" s="1" t="s">
        <v>175</v>
      </c>
      <c r="D68" s="1" t="s">
        <v>190</v>
      </c>
      <c r="E68" t="s">
        <v>191</v>
      </c>
      <c r="F68" s="1">
        <v>13</v>
      </c>
      <c r="G68" s="2" t="s">
        <v>323</v>
      </c>
      <c r="H68" s="2" t="str">
        <f t="shared" si="0"/>
        <v>EXECUTE [dbo].[PG_CI_ARCUSFIL_PROGRAM]  0, 0, 'CAL','2013 S197 MUSTANG CALIFORNIA',13</v>
      </c>
      <c r="J68" s="3"/>
    </row>
    <row r="69" spans="1:10" x14ac:dyDescent="0.2">
      <c r="A69">
        <v>64</v>
      </c>
      <c r="B69" s="1">
        <v>13</v>
      </c>
      <c r="C69" s="1" t="s">
        <v>175</v>
      </c>
      <c r="D69" s="1" t="s">
        <v>188</v>
      </c>
      <c r="E69" t="s">
        <v>189</v>
      </c>
      <c r="F69" s="1">
        <v>13</v>
      </c>
      <c r="G69" s="2" t="s">
        <v>323</v>
      </c>
      <c r="H69" s="2" t="str">
        <f t="shared" si="0"/>
        <v>EXECUTE [dbo].[PG_CI_ARCUSFIL_PROGRAM]  0, 0, 'G65','GMX365 BUICK LACROSSE',13</v>
      </c>
      <c r="J69" s="3"/>
    </row>
    <row r="70" spans="1:10" x14ac:dyDescent="0.2">
      <c r="A70">
        <v>65</v>
      </c>
      <c r="B70" s="1">
        <v>13</v>
      </c>
      <c r="C70" s="1" t="s">
        <v>175</v>
      </c>
      <c r="D70" s="1" t="s">
        <v>186</v>
      </c>
      <c r="E70" t="s">
        <v>187</v>
      </c>
      <c r="F70" s="1">
        <v>13</v>
      </c>
      <c r="G70" s="2" t="s">
        <v>323</v>
      </c>
      <c r="H70" s="2" t="str">
        <f t="shared" si="0"/>
        <v>EXECUTE [dbo].[PG_CI_ARCUSFIL_PROGRAM]  0, 0, 'IUP','2013 S197 MUSTANG IUP',13</v>
      </c>
      <c r="J70" s="3"/>
    </row>
    <row r="71" spans="1:10" x14ac:dyDescent="0.2">
      <c r="A71">
        <v>66</v>
      </c>
      <c r="B71" s="1">
        <v>13</v>
      </c>
      <c r="C71" s="1" t="s">
        <v>175</v>
      </c>
      <c r="D71" s="1" t="s">
        <v>184</v>
      </c>
      <c r="E71" t="s">
        <v>185</v>
      </c>
      <c r="F71" s="1">
        <v>13</v>
      </c>
      <c r="G71" s="2" t="s">
        <v>323</v>
      </c>
      <c r="H71" s="2" t="str">
        <f t="shared" ref="H71:H134" si="1">_xlfn.CONCAT(G71,"'",D71,"'",$H$5,"'",TRIM(E71),"'",$H$5,F71)</f>
        <v>EXECUTE [dbo].[PG_CI_ARCUSFIL_PROGRAM]  0, 0, 'PRM','2013 S197 MUSTANG PREMIUM',13</v>
      </c>
      <c r="J71" s="3"/>
    </row>
    <row r="72" spans="1:10" x14ac:dyDescent="0.2">
      <c r="A72">
        <v>67</v>
      </c>
      <c r="B72" s="1">
        <v>13</v>
      </c>
      <c r="C72" s="1" t="s">
        <v>175</v>
      </c>
      <c r="D72" s="1" t="s">
        <v>182</v>
      </c>
      <c r="E72" t="s">
        <v>183</v>
      </c>
      <c r="F72" s="1">
        <v>13</v>
      </c>
      <c r="G72" s="2" t="s">
        <v>323</v>
      </c>
      <c r="H72" s="2" t="str">
        <f t="shared" si="1"/>
        <v>EXECUTE [dbo].[PG_CI_ARCUSFIL_PROGRAM]  0, 0, 'SH1','2013 S197 MUSTANG SHELBY 5B8',13</v>
      </c>
      <c r="J72" s="3"/>
    </row>
    <row r="73" spans="1:10" x14ac:dyDescent="0.2">
      <c r="A73">
        <v>68</v>
      </c>
      <c r="B73" s="1">
        <v>13</v>
      </c>
      <c r="C73" s="1" t="s">
        <v>175</v>
      </c>
      <c r="D73" s="1" t="s">
        <v>180</v>
      </c>
      <c r="E73" t="s">
        <v>181</v>
      </c>
      <c r="F73" s="1">
        <v>13</v>
      </c>
      <c r="G73" s="2" t="s">
        <v>323</v>
      </c>
      <c r="H73" s="2" t="str">
        <f t="shared" si="1"/>
        <v>EXECUTE [dbo].[PG_CI_ARCUSFIL_PROGRAM]  0, 0, 'SH2','2013 S197 MUSTANG SHELBY TT',13</v>
      </c>
      <c r="I73" s="3"/>
      <c r="J73" s="3"/>
    </row>
    <row r="74" spans="1:10" x14ac:dyDescent="0.2">
      <c r="A74">
        <v>69</v>
      </c>
      <c r="B74" s="1">
        <v>13</v>
      </c>
      <c r="C74" s="1" t="s">
        <v>175</v>
      </c>
      <c r="D74" s="1" t="s">
        <v>178</v>
      </c>
      <c r="E74" t="s">
        <v>179</v>
      </c>
      <c r="F74" s="1">
        <v>13</v>
      </c>
      <c r="G74" s="2" t="s">
        <v>323</v>
      </c>
      <c r="H74" s="2" t="str">
        <f t="shared" si="1"/>
        <v>EXECUTE [dbo].[PG_CI_ARCUSFIL_PROGRAM]  0, 0, 'THL','2013 D258 TAURUS LTD',13</v>
      </c>
      <c r="I74" s="3"/>
      <c r="J74" s="3"/>
    </row>
    <row r="75" spans="1:10" x14ac:dyDescent="0.2">
      <c r="A75">
        <v>70</v>
      </c>
      <c r="B75" s="1">
        <v>13</v>
      </c>
      <c r="C75" s="1" t="s">
        <v>175</v>
      </c>
      <c r="D75" s="1" t="s">
        <v>176</v>
      </c>
      <c r="E75" t="s">
        <v>177</v>
      </c>
      <c r="F75" s="1">
        <v>13</v>
      </c>
      <c r="G75" s="2" t="s">
        <v>323</v>
      </c>
      <c r="H75" s="2" t="str">
        <f t="shared" si="1"/>
        <v>EXECUTE [dbo].[PG_CI_ARCUSFIL_PROGRAM]  0, 0, 'THO','2013 D258 TAURUS SHO &amp; LIMITED',13</v>
      </c>
      <c r="I75" s="3"/>
      <c r="J75" s="3"/>
    </row>
    <row r="76" spans="1:10" x14ac:dyDescent="0.2">
      <c r="A76">
        <v>71</v>
      </c>
      <c r="B76" s="1">
        <v>13</v>
      </c>
      <c r="C76" s="1" t="s">
        <v>175</v>
      </c>
      <c r="D76" s="1" t="s">
        <v>173</v>
      </c>
      <c r="E76" t="s">
        <v>174</v>
      </c>
      <c r="F76" s="1">
        <v>13</v>
      </c>
      <c r="G76" s="2" t="s">
        <v>323</v>
      </c>
      <c r="H76" s="2" t="str">
        <f t="shared" si="1"/>
        <v>EXECUTE [dbo].[PG_CI_ARCUSFIL_PROGRAM]  0, 0, 'TSL','2013 D258 TAURUS SEL',13</v>
      </c>
      <c r="I76" s="3"/>
      <c r="J76" s="3"/>
    </row>
    <row r="77" spans="1:10" x14ac:dyDescent="0.2">
      <c r="A77">
        <v>72</v>
      </c>
      <c r="B77" s="1">
        <v>17</v>
      </c>
      <c r="C77" s="1" t="s">
        <v>136</v>
      </c>
      <c r="D77" s="1" t="s">
        <v>171</v>
      </c>
      <c r="E77" t="s">
        <v>172</v>
      </c>
      <c r="F77" s="1">
        <v>17</v>
      </c>
      <c r="G77" s="2" t="s">
        <v>323</v>
      </c>
      <c r="H77" s="2" t="str">
        <f t="shared" si="1"/>
        <v>EXECUTE [dbo].[PG_CI_ARCUSFIL_PROGRAM]  0, 0, 'GMC','GMX 001 COUPE',17</v>
      </c>
      <c r="I77" s="3"/>
      <c r="J77" s="2"/>
    </row>
    <row r="78" spans="1:10" x14ac:dyDescent="0.2">
      <c r="A78">
        <v>73</v>
      </c>
      <c r="B78" s="1">
        <v>17</v>
      </c>
      <c r="C78" s="1" t="s">
        <v>136</v>
      </c>
      <c r="D78" s="1" t="s">
        <v>169</v>
      </c>
      <c r="E78" t="s">
        <v>170</v>
      </c>
      <c r="F78" s="1">
        <v>17</v>
      </c>
      <c r="G78" s="2" t="s">
        <v>323</v>
      </c>
      <c r="H78" s="2" t="str">
        <f t="shared" si="1"/>
        <v>EXECUTE [dbo].[PG_CI_ARCUSFIL_PROGRAM]  0, 0, 'GX1','GMX 001 COUPE L4',17</v>
      </c>
      <c r="I78" s="3"/>
    </row>
    <row r="79" spans="1:10" x14ac:dyDescent="0.2">
      <c r="A79">
        <v>74</v>
      </c>
      <c r="B79" s="1">
        <v>17</v>
      </c>
      <c r="C79" s="1" t="s">
        <v>136</v>
      </c>
      <c r="D79" s="1" t="s">
        <v>167</v>
      </c>
      <c r="E79" t="s">
        <v>168</v>
      </c>
      <c r="F79" s="1">
        <v>17</v>
      </c>
      <c r="G79" s="2" t="s">
        <v>323</v>
      </c>
      <c r="H79" s="2" t="str">
        <f t="shared" si="1"/>
        <v>EXECUTE [dbo].[PG_CI_ARCUSFIL_PROGRAM]  0, 0, 'GXS','GMX001 SEDAN',17</v>
      </c>
      <c r="I79" s="3"/>
      <c r="J79" s="2"/>
    </row>
    <row r="80" spans="1:10" x14ac:dyDescent="0.2">
      <c r="A80">
        <v>75</v>
      </c>
      <c r="B80" s="1">
        <v>17</v>
      </c>
      <c r="C80" s="1" t="s">
        <v>136</v>
      </c>
      <c r="D80" s="1" t="s">
        <v>165</v>
      </c>
      <c r="E80" t="s">
        <v>166</v>
      </c>
      <c r="F80" s="1">
        <v>17</v>
      </c>
      <c r="G80" s="2" t="s">
        <v>323</v>
      </c>
      <c r="H80" s="2" t="str">
        <f t="shared" si="1"/>
        <v>EXECUTE [dbo].[PG_CI_ARCUSFIL_PROGRAM]  0, 0, 'HRM','U377 HEADREST 2010',17</v>
      </c>
      <c r="I80" s="3"/>
    </row>
    <row r="81" spans="1:10" x14ac:dyDescent="0.2">
      <c r="A81">
        <v>76</v>
      </c>
      <c r="B81" s="1">
        <v>17</v>
      </c>
      <c r="C81" s="1" t="s">
        <v>136</v>
      </c>
      <c r="D81" s="1" t="s">
        <v>163</v>
      </c>
      <c r="E81" t="s">
        <v>164</v>
      </c>
      <c r="F81" s="1">
        <v>17</v>
      </c>
      <c r="G81" s="2" t="s">
        <v>323</v>
      </c>
      <c r="H81" s="2" t="str">
        <f t="shared" si="1"/>
        <v>EXECUTE [dbo].[PG_CI_ARCUSFIL_PROGRAM]  0, 0, 'MAZ','U377 MAZDA PREMIUM 2009',17</v>
      </c>
      <c r="I81" s="3"/>
      <c r="J81" s="2"/>
    </row>
    <row r="82" spans="1:10" x14ac:dyDescent="0.2">
      <c r="A82">
        <v>77</v>
      </c>
      <c r="B82" s="1">
        <v>17</v>
      </c>
      <c r="C82" s="1" t="s">
        <v>136</v>
      </c>
      <c r="D82" s="1" t="s">
        <v>161</v>
      </c>
      <c r="E82" t="s">
        <v>162</v>
      </c>
      <c r="F82" s="1">
        <v>17</v>
      </c>
      <c r="G82" s="2" t="s">
        <v>323</v>
      </c>
      <c r="H82" s="2" t="str">
        <f t="shared" si="1"/>
        <v>EXECUTE [dbo].[PG_CI_ARCUSFIL_PROGRAM]  0, 0, 'MP9','U377 MERCURY PREMIUM 2009',17</v>
      </c>
      <c r="I82" s="3"/>
      <c r="J82" s="2"/>
    </row>
    <row r="83" spans="1:10" x14ac:dyDescent="0.2">
      <c r="A83">
        <v>78</v>
      </c>
      <c r="B83" s="1">
        <v>17</v>
      </c>
      <c r="C83" s="1" t="s">
        <v>136</v>
      </c>
      <c r="D83" s="1" t="s">
        <v>159</v>
      </c>
      <c r="E83" t="s">
        <v>160</v>
      </c>
      <c r="F83" s="1">
        <v>17</v>
      </c>
      <c r="G83" s="2" t="s">
        <v>323</v>
      </c>
      <c r="H83" s="2" t="str">
        <f t="shared" si="1"/>
        <v>EXECUTE [dbo].[PG_CI_ARCUSFIL_PROGRAM]  0, 0, 'PL1','U377 FORD PREMIUM 11 PLM',17</v>
      </c>
      <c r="I83" s="3"/>
      <c r="J83" s="2"/>
    </row>
    <row r="84" spans="1:10" x14ac:dyDescent="0.2">
      <c r="A84">
        <v>79</v>
      </c>
      <c r="B84" s="1">
        <v>17</v>
      </c>
      <c r="C84" s="1" t="s">
        <v>136</v>
      </c>
      <c r="D84" s="1" t="s">
        <v>157</v>
      </c>
      <c r="E84" t="s">
        <v>158</v>
      </c>
      <c r="F84" s="1">
        <v>17</v>
      </c>
      <c r="G84" s="2" t="s">
        <v>323</v>
      </c>
      <c r="H84" s="2" t="str">
        <f t="shared" si="1"/>
        <v>EXECUTE [dbo].[PG_CI_ARCUSFIL_PROGRAM]  0, 0, 'PLA','VN-127 FORD ECONOLINE',17</v>
      </c>
      <c r="I84" s="3"/>
      <c r="J84" s="2"/>
    </row>
    <row r="85" spans="1:10" x14ac:dyDescent="0.2">
      <c r="A85">
        <v>80</v>
      </c>
      <c r="B85" s="1">
        <v>17</v>
      </c>
      <c r="C85" s="1" t="s">
        <v>136</v>
      </c>
      <c r="D85" s="1" t="s">
        <v>155</v>
      </c>
      <c r="E85" t="s">
        <v>156</v>
      </c>
      <c r="F85" s="1">
        <v>17</v>
      </c>
      <c r="G85" s="2" t="s">
        <v>323</v>
      </c>
      <c r="H85" s="2" t="str">
        <f t="shared" si="1"/>
        <v>EXECUTE [dbo].[PG_CI_ARCUSFIL_PROGRAM]  0, 0, 'U20','U204 MAZDA AIR BAG',17</v>
      </c>
      <c r="I85" s="3"/>
      <c r="J85" s="2"/>
    </row>
    <row r="86" spans="1:10" x14ac:dyDescent="0.2">
      <c r="A86">
        <v>81</v>
      </c>
      <c r="B86" s="1">
        <v>17</v>
      </c>
      <c r="C86" s="1" t="s">
        <v>136</v>
      </c>
      <c r="D86" s="1" t="s">
        <v>153</v>
      </c>
      <c r="E86" t="s">
        <v>154</v>
      </c>
      <c r="F86" s="1">
        <v>17</v>
      </c>
      <c r="G86" s="2" t="s">
        <v>323</v>
      </c>
      <c r="H86" s="2" t="str">
        <f t="shared" si="1"/>
        <v>EXECUTE [dbo].[PG_CI_ARCUSFIL_PROGRAM]  0, 0, 'U2F','U204 FORD LTD AB',17</v>
      </c>
      <c r="I86" s="3"/>
      <c r="J86" s="2"/>
    </row>
    <row r="87" spans="1:10" x14ac:dyDescent="0.2">
      <c r="A87">
        <v>82</v>
      </c>
      <c r="B87" s="1">
        <v>17</v>
      </c>
      <c r="C87" s="1" t="s">
        <v>136</v>
      </c>
      <c r="D87" s="1" t="s">
        <v>151</v>
      </c>
      <c r="E87" t="s">
        <v>152</v>
      </c>
      <c r="F87" s="1">
        <v>17</v>
      </c>
      <c r="G87" s="2" t="s">
        <v>323</v>
      </c>
      <c r="H87" s="2" t="str">
        <f t="shared" si="1"/>
        <v>EXECUTE [dbo].[PG_CI_ARCUSFIL_PROGRAM]  0, 0, 'U2L','U204 FORD LTD STD',17</v>
      </c>
      <c r="I87" s="3"/>
      <c r="J87" s="2"/>
    </row>
    <row r="88" spans="1:10" x14ac:dyDescent="0.2">
      <c r="A88">
        <v>83</v>
      </c>
      <c r="B88" s="1">
        <v>17</v>
      </c>
      <c r="C88" s="1" t="s">
        <v>136</v>
      </c>
      <c r="D88" s="1" t="s">
        <v>149</v>
      </c>
      <c r="E88" t="s">
        <v>150</v>
      </c>
      <c r="F88" s="1">
        <v>17</v>
      </c>
      <c r="G88" s="2" t="s">
        <v>323</v>
      </c>
      <c r="H88" s="2" t="str">
        <f t="shared" si="1"/>
        <v>EXECUTE [dbo].[PG_CI_ARCUSFIL_PROGRAM]  0, 0, 'U2M','U204 MAZDA PREMIUM',17</v>
      </c>
      <c r="I88" s="3"/>
      <c r="J88" s="3"/>
    </row>
    <row r="89" spans="1:10" x14ac:dyDescent="0.2">
      <c r="A89">
        <v>84</v>
      </c>
      <c r="B89" s="1">
        <v>17</v>
      </c>
      <c r="C89" s="1" t="s">
        <v>136</v>
      </c>
      <c r="D89" s="1" t="s">
        <v>147</v>
      </c>
      <c r="E89" t="s">
        <v>148</v>
      </c>
      <c r="F89" s="1">
        <v>17</v>
      </c>
      <c r="G89" s="2" t="s">
        <v>323</v>
      </c>
      <c r="H89" s="2" t="str">
        <f t="shared" si="1"/>
        <v>EXECUTE [dbo].[PG_CI_ARCUSFIL_PROGRAM]  0, 0, 'U37','U377 MERCURY LTD 2008',17</v>
      </c>
      <c r="J89" s="3"/>
    </row>
    <row r="90" spans="1:10" x14ac:dyDescent="0.2">
      <c r="A90">
        <v>85</v>
      </c>
      <c r="B90" s="1">
        <v>17</v>
      </c>
      <c r="C90" s="1" t="s">
        <v>136</v>
      </c>
      <c r="D90" s="1" t="s">
        <v>145</v>
      </c>
      <c r="E90" t="s">
        <v>146</v>
      </c>
      <c r="F90" s="1">
        <v>17</v>
      </c>
      <c r="G90" s="2" t="s">
        <v>323</v>
      </c>
      <c r="H90" s="2" t="str">
        <f t="shared" si="1"/>
        <v>EXECUTE [dbo].[PG_CI_ARCUSFIL_PROGRAM]  0, 0, 'U3L','U364 MERCURY LTD STD',17</v>
      </c>
      <c r="I90" s="3"/>
      <c r="J90" s="2"/>
    </row>
    <row r="91" spans="1:10" x14ac:dyDescent="0.2">
      <c r="A91">
        <v>86</v>
      </c>
      <c r="B91" s="1">
        <v>17</v>
      </c>
      <c r="C91" s="1" t="s">
        <v>136</v>
      </c>
      <c r="D91" s="1" t="s">
        <v>143</v>
      </c>
      <c r="E91" t="s">
        <v>144</v>
      </c>
      <c r="F91" s="1">
        <v>17</v>
      </c>
      <c r="G91" s="2" t="s">
        <v>323</v>
      </c>
      <c r="H91" s="2" t="str">
        <f t="shared" si="1"/>
        <v>EXECUTE [dbo].[PG_CI_ARCUSFIL_PROGRAM]  0, 0, 'U3M','U377 MERCURY PREMIUM 2008',17</v>
      </c>
      <c r="I91" s="3"/>
      <c r="J91" s="2"/>
    </row>
    <row r="92" spans="1:10" x14ac:dyDescent="0.2">
      <c r="A92">
        <v>87</v>
      </c>
      <c r="B92" s="1">
        <v>17</v>
      </c>
      <c r="C92" s="1" t="s">
        <v>136</v>
      </c>
      <c r="D92" s="1" t="s">
        <v>141</v>
      </c>
      <c r="E92" t="s">
        <v>142</v>
      </c>
      <c r="F92" s="1">
        <v>17</v>
      </c>
      <c r="G92" s="2" t="s">
        <v>323</v>
      </c>
      <c r="H92" s="2" t="str">
        <f t="shared" si="1"/>
        <v>EXECUTE [dbo].[PG_CI_ARCUSFIL_PROGRAM]  0, 0, 'U3P','U364 MCY PREMIUM',17</v>
      </c>
      <c r="I92" s="3"/>
      <c r="J92" s="3"/>
    </row>
    <row r="93" spans="1:10" x14ac:dyDescent="0.2">
      <c r="A93">
        <v>88</v>
      </c>
      <c r="B93" s="1">
        <v>17</v>
      </c>
      <c r="C93" s="1" t="s">
        <v>136</v>
      </c>
      <c r="D93" s="1" t="s">
        <v>139</v>
      </c>
      <c r="E93" t="s">
        <v>140</v>
      </c>
      <c r="F93" s="1">
        <v>17</v>
      </c>
      <c r="G93" s="2" t="s">
        <v>323</v>
      </c>
      <c r="H93" s="2" t="str">
        <f t="shared" si="1"/>
        <v>EXECUTE [dbo].[PG_CI_ARCUSFIL_PROGRAM]  0, 0, 'U55','2019 U553 EXPEDITION',17</v>
      </c>
      <c r="I93" s="3"/>
      <c r="J93" s="3"/>
    </row>
    <row r="94" spans="1:10" x14ac:dyDescent="0.2">
      <c r="A94">
        <v>89</v>
      </c>
      <c r="B94" s="1">
        <v>17</v>
      </c>
      <c r="C94" s="1" t="s">
        <v>136</v>
      </c>
      <c r="D94" s="1" t="s">
        <v>137</v>
      </c>
      <c r="E94" t="s">
        <v>138</v>
      </c>
      <c r="F94" s="1">
        <v>17</v>
      </c>
      <c r="G94" s="2" t="s">
        <v>323</v>
      </c>
      <c r="H94" s="2" t="str">
        <f t="shared" si="1"/>
        <v>EXECUTE [dbo].[PG_CI_ARCUSFIL_PROGRAM]  0, 0, 'U77','U377 FORD MONO TONE',17</v>
      </c>
      <c r="I94" s="3"/>
      <c r="J94" s="3"/>
    </row>
    <row r="95" spans="1:10" x14ac:dyDescent="0.2">
      <c r="A95">
        <v>90</v>
      </c>
      <c r="B95" s="1">
        <v>17</v>
      </c>
      <c r="C95" s="1" t="s">
        <v>136</v>
      </c>
      <c r="D95" s="1" t="s">
        <v>134</v>
      </c>
      <c r="E95" t="s">
        <v>135</v>
      </c>
      <c r="F95" s="1">
        <v>17</v>
      </c>
      <c r="G95" s="2" t="s">
        <v>323</v>
      </c>
      <c r="H95" s="2" t="str">
        <f t="shared" si="1"/>
        <v>EXECUTE [dbo].[PG_CI_ARCUSFIL_PROGRAM]  0, 0, 'UMA','U377 MAZDA PREMIUM 2008',17</v>
      </c>
      <c r="I95" s="3"/>
      <c r="J95" s="3"/>
    </row>
    <row r="96" spans="1:10" x14ac:dyDescent="0.2">
      <c r="A96">
        <v>91</v>
      </c>
      <c r="B96" s="1">
        <v>18</v>
      </c>
      <c r="C96" s="1" t="s">
        <v>105</v>
      </c>
      <c r="D96" s="1" t="s">
        <v>132</v>
      </c>
      <c r="E96" t="s">
        <v>133</v>
      </c>
      <c r="F96" s="1">
        <v>18</v>
      </c>
      <c r="G96" s="2" t="s">
        <v>323</v>
      </c>
      <c r="H96" s="2" t="str">
        <f t="shared" si="1"/>
        <v>EXECUTE [dbo].[PG_CI_ARCUSFIL_PROGRAM]  0, 0, 'W7A','2021 WL 74 AL',18</v>
      </c>
      <c r="I96" s="3"/>
      <c r="J96" s="3"/>
    </row>
    <row r="97" spans="1:10" x14ac:dyDescent="0.2">
      <c r="A97">
        <v>92</v>
      </c>
      <c r="B97" s="1">
        <v>18</v>
      </c>
      <c r="C97" s="1" t="s">
        <v>105</v>
      </c>
      <c r="D97" s="1" t="s">
        <v>130</v>
      </c>
      <c r="E97" t="s">
        <v>131</v>
      </c>
      <c r="F97" s="1">
        <v>18</v>
      </c>
      <c r="G97" s="2" t="s">
        <v>323</v>
      </c>
      <c r="H97" s="2" t="str">
        <f t="shared" si="1"/>
        <v>EXECUTE [dbo].[PG_CI_ARCUSFIL_PROGRAM]  0, 0, 'W7B','2021 WL 74 BL',18</v>
      </c>
      <c r="I97" s="3"/>
      <c r="J97" s="3"/>
    </row>
    <row r="98" spans="1:10" x14ac:dyDescent="0.2">
      <c r="A98">
        <v>93</v>
      </c>
      <c r="B98" s="1">
        <v>18</v>
      </c>
      <c r="C98" s="1" t="s">
        <v>105</v>
      </c>
      <c r="D98" s="1" t="s">
        <v>128</v>
      </c>
      <c r="E98" t="s">
        <v>129</v>
      </c>
      <c r="F98" s="1">
        <v>18</v>
      </c>
      <c r="G98" s="2" t="s">
        <v>323</v>
      </c>
      <c r="H98" s="2" t="str">
        <f t="shared" si="1"/>
        <v>EXECUTE [dbo].[PG_CI_ARCUSFIL_PROGRAM]  0, 0, 'W7C','2021 WL 74 CL 8W',18</v>
      </c>
      <c r="I98" s="3"/>
      <c r="J98" s="3"/>
    </row>
    <row r="99" spans="1:10" x14ac:dyDescent="0.2">
      <c r="A99">
        <v>94</v>
      </c>
      <c r="B99" s="1">
        <v>18</v>
      </c>
      <c r="C99" s="1" t="s">
        <v>105</v>
      </c>
      <c r="D99" s="1" t="s">
        <v>126</v>
      </c>
      <c r="E99" t="s">
        <v>127</v>
      </c>
      <c r="F99" s="1">
        <v>18</v>
      </c>
      <c r="G99" s="2" t="s">
        <v>323</v>
      </c>
      <c r="H99" s="2" t="str">
        <f t="shared" si="1"/>
        <v>EXECUTE [dbo].[PG_CI_ARCUSFIL_PROGRAM]  0, 0, 'W7D','2021 WL 74 DL',18</v>
      </c>
      <c r="I99" s="3"/>
      <c r="J99" s="3"/>
    </row>
    <row r="100" spans="1:10" x14ac:dyDescent="0.2">
      <c r="A100">
        <v>95</v>
      </c>
      <c r="B100" s="1">
        <v>18</v>
      </c>
      <c r="C100" s="1" t="s">
        <v>105</v>
      </c>
      <c r="D100" s="1" t="s">
        <v>124</v>
      </c>
      <c r="E100" t="s">
        <v>125</v>
      </c>
      <c r="F100" s="1">
        <v>18</v>
      </c>
      <c r="G100" s="2" t="s">
        <v>323</v>
      </c>
      <c r="H100" s="2" t="str">
        <f t="shared" si="1"/>
        <v>EXECUTE [dbo].[PG_CI_ARCUSFIL_PROGRAM]  0, 0, 'W7E','2021 WL 74 EC',18</v>
      </c>
      <c r="I100" s="3"/>
      <c r="J100" s="3"/>
    </row>
    <row r="101" spans="1:10" x14ac:dyDescent="0.2">
      <c r="A101">
        <v>96</v>
      </c>
      <c r="B101" s="1">
        <v>18</v>
      </c>
      <c r="C101" s="1" t="s">
        <v>105</v>
      </c>
      <c r="D101" s="1" t="s">
        <v>122</v>
      </c>
      <c r="E101" t="s">
        <v>123</v>
      </c>
      <c r="F101" s="1">
        <v>18</v>
      </c>
      <c r="G101" s="2" t="s">
        <v>323</v>
      </c>
      <c r="H101" s="2" t="str">
        <f t="shared" si="1"/>
        <v>EXECUTE [dbo].[PG_CI_ARCUSFIL_PROGRAM]  0, 0, 'W7S','2021 WL 74 SL',18</v>
      </c>
      <c r="I101" s="3"/>
      <c r="J101" s="3"/>
    </row>
    <row r="102" spans="1:10" x14ac:dyDescent="0.2">
      <c r="A102">
        <v>97</v>
      </c>
      <c r="B102" s="1">
        <v>18</v>
      </c>
      <c r="C102" s="1" t="s">
        <v>105</v>
      </c>
      <c r="D102" s="1" t="s">
        <v>120</v>
      </c>
      <c r="E102" t="s">
        <v>121</v>
      </c>
      <c r="F102" s="1">
        <v>18</v>
      </c>
      <c r="G102" s="2" t="s">
        <v>323</v>
      </c>
      <c r="H102" s="2" t="str">
        <f t="shared" si="1"/>
        <v>EXECUTE [dbo].[PG_CI_ARCUSFIL_PROGRAM]  0, 0, 'W7T','2021 WL 74 TL',18</v>
      </c>
      <c r="I102" s="3"/>
      <c r="J102" s="3"/>
    </row>
    <row r="103" spans="1:10" x14ac:dyDescent="0.2">
      <c r="A103">
        <v>98</v>
      </c>
      <c r="B103" s="1">
        <v>18</v>
      </c>
      <c r="C103" s="1" t="s">
        <v>105</v>
      </c>
      <c r="D103" s="1" t="s">
        <v>118</v>
      </c>
      <c r="E103" t="s">
        <v>119</v>
      </c>
      <c r="F103" s="1">
        <v>18</v>
      </c>
      <c r="G103" s="2" t="s">
        <v>323</v>
      </c>
      <c r="H103" s="2" t="str">
        <f t="shared" si="1"/>
        <v>EXECUTE [dbo].[PG_CI_ARCUSFIL_PROGRAM]  0, 0, 'WAL','2021 WL 75 AL 8W LIMITED',18</v>
      </c>
      <c r="I103" s="3"/>
      <c r="J103" s="3"/>
    </row>
    <row r="104" spans="1:10" x14ac:dyDescent="0.2">
      <c r="A104">
        <v>99</v>
      </c>
      <c r="B104" s="1">
        <v>18</v>
      </c>
      <c r="C104" s="1" t="s">
        <v>105</v>
      </c>
      <c r="D104" s="1" t="s">
        <v>116</v>
      </c>
      <c r="E104" t="s">
        <v>117</v>
      </c>
      <c r="F104" s="1">
        <v>18</v>
      </c>
      <c r="G104" s="2" t="s">
        <v>323</v>
      </c>
      <c r="H104" s="2" t="str">
        <f t="shared" si="1"/>
        <v>EXECUTE [dbo].[PG_CI_ARCUSFIL_PROGRAM]  0, 0, 'WC1','2021 WL 75 CL 12 WAY',18</v>
      </c>
      <c r="I104" s="3"/>
      <c r="J104" s="3"/>
    </row>
    <row r="105" spans="1:10" x14ac:dyDescent="0.2">
      <c r="A105">
        <v>100</v>
      </c>
      <c r="B105" s="1">
        <v>18</v>
      </c>
      <c r="C105" s="1" t="s">
        <v>105</v>
      </c>
      <c r="D105" s="1" t="s">
        <v>114</v>
      </c>
      <c r="E105" t="s">
        <v>115</v>
      </c>
      <c r="F105" s="1">
        <v>18</v>
      </c>
      <c r="G105" s="2" t="s">
        <v>323</v>
      </c>
      <c r="H105" s="2" t="str">
        <f t="shared" si="1"/>
        <v>EXECUTE [dbo].[PG_CI_ARCUSFIL_PROGRAM]  0, 0, 'WCL','2021 WL 75 CL 8 WAY',18</v>
      </c>
      <c r="I105" s="3"/>
      <c r="J105" s="3"/>
    </row>
    <row r="106" spans="1:10" x14ac:dyDescent="0.2">
      <c r="A106">
        <v>101</v>
      </c>
      <c r="B106" s="1">
        <v>18</v>
      </c>
      <c r="C106" s="1" t="s">
        <v>105</v>
      </c>
      <c r="D106" s="1" t="s">
        <v>112</v>
      </c>
      <c r="E106" t="s">
        <v>113</v>
      </c>
      <c r="F106" s="1">
        <v>18</v>
      </c>
      <c r="G106" s="2" t="s">
        <v>323</v>
      </c>
      <c r="H106" s="2" t="str">
        <f t="shared" si="1"/>
        <v>EXECUTE [dbo].[PG_CI_ARCUSFIL_PROGRAM]  0, 0, 'WDL','2021 WL 75 DL LIMITED',18</v>
      </c>
      <c r="I106" s="3"/>
      <c r="J106" s="3"/>
    </row>
    <row r="107" spans="1:10" x14ac:dyDescent="0.2">
      <c r="A107">
        <v>102</v>
      </c>
      <c r="B107" s="1">
        <v>18</v>
      </c>
      <c r="C107" s="1" t="s">
        <v>105</v>
      </c>
      <c r="D107" s="1" t="s">
        <v>110</v>
      </c>
      <c r="E107" t="s">
        <v>111</v>
      </c>
      <c r="F107" s="1">
        <v>18</v>
      </c>
      <c r="G107" s="2" t="s">
        <v>323</v>
      </c>
      <c r="H107" s="2" t="str">
        <f t="shared" si="1"/>
        <v>EXECUTE [dbo].[PG_CI_ARCUSFIL_PROGRAM]  0, 0, 'WEC','2021 WL 75 EC SUMMIT',18</v>
      </c>
      <c r="I107" s="3"/>
    </row>
    <row r="108" spans="1:10" x14ac:dyDescent="0.2">
      <c r="A108">
        <v>103</v>
      </c>
      <c r="B108" s="1">
        <v>18</v>
      </c>
      <c r="C108" s="1" t="s">
        <v>105</v>
      </c>
      <c r="D108" s="1" t="s">
        <v>108</v>
      </c>
      <c r="E108" t="s">
        <v>109</v>
      </c>
      <c r="F108" s="1">
        <v>18</v>
      </c>
      <c r="G108" s="2" t="s">
        <v>323</v>
      </c>
      <c r="H108" s="2" t="str">
        <f t="shared" si="1"/>
        <v>EXECUTE [dbo].[PG_CI_ARCUSFIL_PROGRAM]  0, 0, 'WLB','2021 WL 75 BL OVERLAND',18</v>
      </c>
      <c r="I108" s="3"/>
      <c r="J108" s="3"/>
    </row>
    <row r="109" spans="1:10" x14ac:dyDescent="0.2">
      <c r="A109">
        <v>104</v>
      </c>
      <c r="B109" s="1">
        <v>18</v>
      </c>
      <c r="C109" s="1" t="s">
        <v>105</v>
      </c>
      <c r="D109" s="1" t="s">
        <v>106</v>
      </c>
      <c r="E109" t="s">
        <v>107</v>
      </c>
      <c r="F109" s="1">
        <v>18</v>
      </c>
      <c r="G109" s="2" t="s">
        <v>323</v>
      </c>
      <c r="H109" s="2" t="str">
        <f t="shared" si="1"/>
        <v>EXECUTE [dbo].[PG_CI_ARCUSFIL_PROGRAM]  0, 0, 'WLK','2021 WL KL 8W BASE SRT',18</v>
      </c>
      <c r="I109" s="3"/>
    </row>
    <row r="110" spans="1:10" x14ac:dyDescent="0.2">
      <c r="A110">
        <v>105</v>
      </c>
      <c r="B110" s="1">
        <v>18</v>
      </c>
      <c r="C110" s="1" t="s">
        <v>105</v>
      </c>
      <c r="D110" s="1" t="s">
        <v>103</v>
      </c>
      <c r="E110" t="s">
        <v>104</v>
      </c>
      <c r="F110" s="1">
        <v>18</v>
      </c>
      <c r="G110" s="2" t="s">
        <v>323</v>
      </c>
      <c r="H110" s="2" t="str">
        <f t="shared" si="1"/>
        <v>EXECUTE [dbo].[PG_CI_ARCUSFIL_PROGRAM]  0, 0, 'WTL','2021 WL 75 TL 12 WAY',18</v>
      </c>
      <c r="I110" s="3"/>
    </row>
    <row r="111" spans="1:10" x14ac:dyDescent="0.2">
      <c r="A111">
        <v>106</v>
      </c>
      <c r="B111" s="1">
        <v>19</v>
      </c>
      <c r="C111" s="1" t="s">
        <v>24</v>
      </c>
      <c r="D111" s="1">
        <v>387</v>
      </c>
      <c r="E111" t="s">
        <v>102</v>
      </c>
      <c r="F111" s="1">
        <v>19</v>
      </c>
      <c r="G111" s="2" t="s">
        <v>323</v>
      </c>
      <c r="H111" s="2" t="str">
        <f t="shared" si="1"/>
        <v>EXECUTE [dbo].[PG_CI_ARCUSFIL_PROGRAM]  0, 0, '387','U387 FORD PREMIUM',19</v>
      </c>
      <c r="I111" s="3"/>
    </row>
    <row r="112" spans="1:10" x14ac:dyDescent="0.2">
      <c r="A112">
        <v>107</v>
      </c>
      <c r="B112" s="1">
        <v>19</v>
      </c>
      <c r="C112" s="1" t="s">
        <v>24</v>
      </c>
      <c r="D112" s="1" t="s">
        <v>100</v>
      </c>
      <c r="E112" t="s">
        <v>101</v>
      </c>
      <c r="F112" s="1">
        <v>19</v>
      </c>
      <c r="G112" s="2" t="s">
        <v>323</v>
      </c>
      <c r="H112" s="2" t="str">
        <f t="shared" si="1"/>
        <v>EXECUTE [dbo].[PG_CI_ARCUSFIL_PROGRAM]  0, 0, '3SU','GMT 315 SUV',19</v>
      </c>
      <c r="I112" s="3"/>
      <c r="J112" s="2"/>
    </row>
    <row r="113" spans="1:10" x14ac:dyDescent="0.2">
      <c r="A113">
        <v>108</v>
      </c>
      <c r="B113" s="1">
        <v>19</v>
      </c>
      <c r="C113" s="1" t="s">
        <v>24</v>
      </c>
      <c r="D113" s="1" t="s">
        <v>98</v>
      </c>
      <c r="E113" t="s">
        <v>99</v>
      </c>
      <c r="F113" s="1">
        <v>19</v>
      </c>
      <c r="G113" s="2" t="s">
        <v>323</v>
      </c>
      <c r="H113" s="2" t="str">
        <f t="shared" si="1"/>
        <v>EXECUTE [dbo].[PG_CI_ARCUSFIL_PROGRAM]  0, 0, 'FCE','U387 FORD CUTTING EDGE',19</v>
      </c>
      <c r="I113" s="3"/>
    </row>
    <row r="114" spans="1:10" x14ac:dyDescent="0.2">
      <c r="A114">
        <v>109</v>
      </c>
      <c r="B114" s="1">
        <v>19</v>
      </c>
      <c r="C114" s="1" t="s">
        <v>24</v>
      </c>
      <c r="D114" s="1" t="s">
        <v>96</v>
      </c>
      <c r="E114" t="s">
        <v>97</v>
      </c>
      <c r="F114" s="1">
        <v>19</v>
      </c>
      <c r="G114" s="2" t="s">
        <v>323</v>
      </c>
      <c r="H114" s="2" t="str">
        <f t="shared" si="1"/>
        <v>EXECUTE [dbo].[PG_CI_ARCUSFIL_PROGRAM]  0, 0, 'GRE','U387 FORD GREY',19</v>
      </c>
      <c r="I114" s="3"/>
      <c r="J114" s="3"/>
    </row>
    <row r="115" spans="1:10" x14ac:dyDescent="0.2">
      <c r="A115">
        <v>110</v>
      </c>
      <c r="B115" s="1">
        <v>19</v>
      </c>
      <c r="C115" s="1" t="s">
        <v>24</v>
      </c>
      <c r="D115" s="1" t="s">
        <v>94</v>
      </c>
      <c r="E115" t="s">
        <v>95</v>
      </c>
      <c r="F115" s="1">
        <v>19</v>
      </c>
      <c r="G115" s="2" t="s">
        <v>323</v>
      </c>
      <c r="H115" s="2" t="str">
        <f t="shared" si="1"/>
        <v>EXECUTE [dbo].[PG_CI_ARCUSFIL_PROGRAM]  0, 0, 'L88','U388 LINCOLN LIMITED',19</v>
      </c>
      <c r="I115" s="3"/>
      <c r="J115" s="3"/>
    </row>
    <row r="116" spans="1:10" x14ac:dyDescent="0.2">
      <c r="A116">
        <v>111</v>
      </c>
      <c r="B116" s="1">
        <v>19</v>
      </c>
      <c r="C116" s="1" t="s">
        <v>24</v>
      </c>
      <c r="D116" s="1" t="s">
        <v>92</v>
      </c>
      <c r="E116" t="s">
        <v>93</v>
      </c>
      <c r="F116" s="1">
        <v>19</v>
      </c>
      <c r="G116" s="2" t="s">
        <v>323</v>
      </c>
      <c r="H116" s="2" t="str">
        <f t="shared" si="1"/>
        <v>EXECUTE [dbo].[PG_CI_ARCUSFIL_PROGRAM]  0, 0, 'PL2','U387 FORD SEL 2011 PLM',19</v>
      </c>
      <c r="I116" s="3"/>
    </row>
    <row r="117" spans="1:10" x14ac:dyDescent="0.2">
      <c r="A117">
        <v>112</v>
      </c>
      <c r="B117" s="1">
        <v>19</v>
      </c>
      <c r="C117" s="1" t="s">
        <v>24</v>
      </c>
      <c r="D117" s="1" t="s">
        <v>90</v>
      </c>
      <c r="E117" t="s">
        <v>91</v>
      </c>
      <c r="F117" s="1">
        <v>19</v>
      </c>
      <c r="G117" s="2" t="s">
        <v>323</v>
      </c>
      <c r="H117" s="2" t="str">
        <f t="shared" si="1"/>
        <v>EXECUTE [dbo].[PG_CI_ARCUSFIL_PROGRAM]  0, 0, 'PL3','U388 LINCOLN BASE 2012',19</v>
      </c>
      <c r="I117" s="3"/>
      <c r="J117" s="3"/>
    </row>
    <row r="118" spans="1:10" x14ac:dyDescent="0.2">
      <c r="A118">
        <v>113</v>
      </c>
      <c r="B118" s="1">
        <v>19</v>
      </c>
      <c r="C118" s="1" t="s">
        <v>24</v>
      </c>
      <c r="D118" s="1" t="s">
        <v>88</v>
      </c>
      <c r="E118" t="s">
        <v>89</v>
      </c>
      <c r="F118" s="1">
        <v>19</v>
      </c>
      <c r="G118" s="2" t="s">
        <v>323</v>
      </c>
      <c r="H118" s="2" t="str">
        <f t="shared" si="1"/>
        <v>EXECUTE [dbo].[PG_CI_ARCUSFIL_PROGRAM]  0, 0, 'PL4','D471 SEL 2012',19</v>
      </c>
      <c r="I118" s="3"/>
      <c r="J118" s="3"/>
    </row>
    <row r="119" spans="1:10" x14ac:dyDescent="0.2">
      <c r="A119">
        <v>114</v>
      </c>
      <c r="B119" s="1">
        <v>19</v>
      </c>
      <c r="C119" s="1" t="s">
        <v>24</v>
      </c>
      <c r="D119" s="1" t="s">
        <v>86</v>
      </c>
      <c r="E119" t="s">
        <v>87</v>
      </c>
      <c r="F119" s="1">
        <v>19</v>
      </c>
      <c r="G119" s="2" t="s">
        <v>323</v>
      </c>
      <c r="H119" s="2" t="str">
        <f t="shared" si="1"/>
        <v>EXECUTE [dbo].[PG_CI_ARCUSFIL_PROGRAM]  0, 0, 'PL5','D471 LTD 2012',19</v>
      </c>
      <c r="I119" s="3"/>
    </row>
    <row r="120" spans="1:10" x14ac:dyDescent="0.2">
      <c r="A120">
        <v>115</v>
      </c>
      <c r="B120" s="1">
        <v>19</v>
      </c>
      <c r="C120" s="1" t="s">
        <v>24</v>
      </c>
      <c r="D120" s="1" t="s">
        <v>84</v>
      </c>
      <c r="E120" t="s">
        <v>85</v>
      </c>
      <c r="F120" s="1">
        <v>19</v>
      </c>
      <c r="G120" s="2" t="s">
        <v>323</v>
      </c>
      <c r="H120" s="2" t="str">
        <f t="shared" si="1"/>
        <v>EXECUTE [dbo].[PG_CI_ARCUSFIL_PROGRAM]  0, 0, 'PL6','U388 LINCOLN ULTIMATE',19</v>
      </c>
      <c r="I120" s="3"/>
    </row>
    <row r="121" spans="1:10" x14ac:dyDescent="0.2">
      <c r="A121">
        <v>116</v>
      </c>
      <c r="B121" s="1">
        <v>19</v>
      </c>
      <c r="C121" s="1" t="s">
        <v>24</v>
      </c>
      <c r="D121" s="1" t="s">
        <v>81</v>
      </c>
      <c r="E121" t="s">
        <v>83</v>
      </c>
      <c r="F121" s="1">
        <v>19</v>
      </c>
      <c r="G121" s="2" t="s">
        <v>323</v>
      </c>
      <c r="H121" s="2" t="str">
        <f t="shared" si="1"/>
        <v>EXECUTE [dbo].[PG_CI_ARCUSFIL_PROGRAM]  0, 0, 'PL7','U387 FORD SEL 2012',19</v>
      </c>
      <c r="I121" s="3"/>
      <c r="J121" s="3"/>
    </row>
    <row r="122" spans="1:10" x14ac:dyDescent="0.2">
      <c r="A122">
        <v>117</v>
      </c>
      <c r="B122" s="1">
        <v>19</v>
      </c>
      <c r="C122" s="1" t="s">
        <v>24</v>
      </c>
      <c r="D122" s="1" t="s">
        <v>81</v>
      </c>
      <c r="E122" t="s">
        <v>82</v>
      </c>
      <c r="F122" s="1">
        <v>19</v>
      </c>
      <c r="G122" s="2" t="s">
        <v>323</v>
      </c>
      <c r="H122" s="2" t="str">
        <f t="shared" si="1"/>
        <v>EXECUTE [dbo].[PG_CI_ARCUSFIL_PROGRAM]  0, 0, 'PL7','U387 FORD SEL 2013',19</v>
      </c>
      <c r="I122" s="3"/>
      <c r="J122" s="3"/>
    </row>
    <row r="123" spans="1:10" x14ac:dyDescent="0.2">
      <c r="A123">
        <v>118</v>
      </c>
      <c r="B123" s="1">
        <v>19</v>
      </c>
      <c r="C123" s="1" t="s">
        <v>24</v>
      </c>
      <c r="D123" s="1" t="s">
        <v>79</v>
      </c>
      <c r="E123" t="s">
        <v>80</v>
      </c>
      <c r="F123" s="1">
        <v>19</v>
      </c>
      <c r="G123" s="2" t="s">
        <v>323</v>
      </c>
      <c r="H123" s="2" t="str">
        <f t="shared" si="1"/>
        <v>EXECUTE [dbo].[PG_CI_ARCUSFIL_PROGRAM]  0, 0, 'PL8','U387 FORD SPORT 2012',19</v>
      </c>
      <c r="I123" s="3"/>
      <c r="J123" s="3"/>
    </row>
    <row r="124" spans="1:10" x14ac:dyDescent="0.2">
      <c r="A124">
        <v>119</v>
      </c>
      <c r="B124" s="1">
        <v>19</v>
      </c>
      <c r="C124" s="1" t="s">
        <v>24</v>
      </c>
      <c r="D124" s="1" t="s">
        <v>77</v>
      </c>
      <c r="E124" t="s">
        <v>78</v>
      </c>
      <c r="F124" s="1">
        <v>19</v>
      </c>
      <c r="G124" s="2" t="s">
        <v>323</v>
      </c>
      <c r="H124" s="2" t="str">
        <f t="shared" si="1"/>
        <v>EXECUTE [dbo].[PG_CI_ARCUSFIL_PROGRAM]  0, 0, 'PL9','U387 FORD SPORT 2011',19</v>
      </c>
      <c r="I124" s="3"/>
      <c r="J124" s="3"/>
    </row>
    <row r="125" spans="1:10" x14ac:dyDescent="0.2">
      <c r="A125">
        <v>120</v>
      </c>
      <c r="B125" s="1">
        <v>19</v>
      </c>
      <c r="C125" s="1" t="s">
        <v>24</v>
      </c>
      <c r="D125" s="1" t="s">
        <v>75</v>
      </c>
      <c r="E125" t="s">
        <v>76</v>
      </c>
      <c r="F125" s="1">
        <v>19</v>
      </c>
      <c r="G125" s="2" t="s">
        <v>323</v>
      </c>
      <c r="H125" s="2" t="str">
        <f t="shared" si="1"/>
        <v>EXECUTE [dbo].[PG_CI_ARCUSFIL_PROGRAM]  0, 0, 'PLB','U388 HEADREST 2012',19</v>
      </c>
      <c r="I125" s="3"/>
      <c r="J125" s="3"/>
    </row>
    <row r="126" spans="1:10" x14ac:dyDescent="0.2">
      <c r="A126">
        <v>121</v>
      </c>
      <c r="B126" s="1">
        <v>19</v>
      </c>
      <c r="C126" s="1" t="s">
        <v>24</v>
      </c>
      <c r="D126" s="1" t="s">
        <v>73</v>
      </c>
      <c r="E126" t="s">
        <v>74</v>
      </c>
      <c r="F126" s="1">
        <v>19</v>
      </c>
      <c r="G126" s="2" t="s">
        <v>323</v>
      </c>
      <c r="H126" s="2" t="str">
        <f t="shared" si="1"/>
        <v>EXECUTE [dbo].[PG_CI_ARCUSFIL_PROGRAM]  0, 0, 'PLC','D471 LTD PLATINIUM',19</v>
      </c>
      <c r="I126" s="3"/>
    </row>
    <row r="127" spans="1:10" x14ac:dyDescent="0.2">
      <c r="A127">
        <v>122</v>
      </c>
      <c r="B127" s="1">
        <v>19</v>
      </c>
      <c r="C127" s="1" t="s">
        <v>24</v>
      </c>
      <c r="D127" s="1" t="s">
        <v>71</v>
      </c>
      <c r="E127" t="s">
        <v>72</v>
      </c>
      <c r="F127" s="1">
        <v>19</v>
      </c>
      <c r="G127" s="2" t="s">
        <v>323</v>
      </c>
      <c r="H127" s="2" t="str">
        <f t="shared" si="1"/>
        <v>EXECUTE [dbo].[PG_CI_ARCUSFIL_PROGRAM]  0, 0, 'PLD','D471 SEL 2013',19</v>
      </c>
      <c r="I127" s="3"/>
      <c r="J127" s="3"/>
    </row>
    <row r="128" spans="1:10" x14ac:dyDescent="0.2">
      <c r="A128">
        <v>123</v>
      </c>
      <c r="B128" s="1">
        <v>19</v>
      </c>
      <c r="C128" s="1" t="s">
        <v>24</v>
      </c>
      <c r="D128" s="1" t="s">
        <v>69</v>
      </c>
      <c r="E128" t="s">
        <v>70</v>
      </c>
      <c r="F128" s="1">
        <v>19</v>
      </c>
      <c r="G128" s="2" t="s">
        <v>323</v>
      </c>
      <c r="H128" s="2" t="str">
        <f t="shared" si="1"/>
        <v>EXECUTE [dbo].[PG_CI_ARCUSFIL_PROGRAM]  0, 0, 'PLE','D471 LTD 2013',19</v>
      </c>
      <c r="I128" s="3"/>
      <c r="J128" s="3"/>
    </row>
    <row r="129" spans="1:10" x14ac:dyDescent="0.2">
      <c r="A129">
        <v>124</v>
      </c>
      <c r="B129" s="1">
        <v>19</v>
      </c>
      <c r="C129" s="1" t="s">
        <v>24</v>
      </c>
      <c r="D129" s="1" t="s">
        <v>67</v>
      </c>
      <c r="E129" t="s">
        <v>68</v>
      </c>
      <c r="F129" s="1">
        <v>19</v>
      </c>
      <c r="G129" s="2" t="s">
        <v>323</v>
      </c>
      <c r="H129" s="2" t="str">
        <f t="shared" si="1"/>
        <v>EXECUTE [dbo].[PG_CI_ARCUSFIL_PROGRAM]  0, 0, 'PLS','D471 2016 SALERNO',19</v>
      </c>
      <c r="I129" s="3"/>
      <c r="J129" s="3"/>
    </row>
    <row r="130" spans="1:10" x14ac:dyDescent="0.2">
      <c r="A130">
        <v>125</v>
      </c>
      <c r="B130" s="1">
        <v>19</v>
      </c>
      <c r="C130" s="1" t="s">
        <v>24</v>
      </c>
      <c r="D130" s="1" t="s">
        <v>65</v>
      </c>
      <c r="E130" t="s">
        <v>66</v>
      </c>
      <c r="F130" s="1">
        <v>19</v>
      </c>
      <c r="G130" s="2" t="s">
        <v>323</v>
      </c>
      <c r="H130" s="2" t="str">
        <f t="shared" si="1"/>
        <v>EXECUTE [dbo].[PG_CI_ARCUSFIL_PROGRAM]  0, 0, 'PVP','U387 FORD VPP',19</v>
      </c>
      <c r="I130" s="3"/>
      <c r="J130" s="3"/>
    </row>
    <row r="131" spans="1:10" x14ac:dyDescent="0.2">
      <c r="A131">
        <v>126</v>
      </c>
      <c r="B131" s="1">
        <v>19</v>
      </c>
      <c r="C131" s="1" t="s">
        <v>24</v>
      </c>
      <c r="D131" s="1" t="s">
        <v>63</v>
      </c>
      <c r="E131" t="s">
        <v>64</v>
      </c>
      <c r="F131" s="1">
        <v>19</v>
      </c>
      <c r="G131" s="2" t="s">
        <v>323</v>
      </c>
      <c r="H131" s="2" t="str">
        <f t="shared" si="1"/>
        <v>EXECUTE [dbo].[PG_CI_ARCUSFIL_PROGRAM]  0, 0, 'RDL','2021 RU DL PINNACLE',19</v>
      </c>
      <c r="I131" s="3"/>
      <c r="J131" s="3"/>
    </row>
    <row r="132" spans="1:10" x14ac:dyDescent="0.2">
      <c r="A132">
        <v>127</v>
      </c>
      <c r="B132" s="1">
        <v>19</v>
      </c>
      <c r="C132" s="1" t="s">
        <v>24</v>
      </c>
      <c r="D132" s="1" t="s">
        <v>61</v>
      </c>
      <c r="E132" t="s">
        <v>62</v>
      </c>
      <c r="F132" s="1">
        <v>19</v>
      </c>
      <c r="G132" s="2" t="s">
        <v>323</v>
      </c>
      <c r="H132" s="2" t="str">
        <f t="shared" si="1"/>
        <v>EXECUTE [dbo].[PG_CI_ARCUSFIL_PROGRAM]  0, 0, 'RUA','2016 RU OPCION AL',19</v>
      </c>
      <c r="I132" s="3"/>
      <c r="J132" s="3"/>
    </row>
    <row r="133" spans="1:10" x14ac:dyDescent="0.2">
      <c r="A133">
        <v>128</v>
      </c>
      <c r="B133" s="1">
        <v>19</v>
      </c>
      <c r="C133" s="1" t="s">
        <v>24</v>
      </c>
      <c r="D133" s="1" t="s">
        <v>59</v>
      </c>
      <c r="E133" t="s">
        <v>60</v>
      </c>
      <c r="F133" s="1">
        <v>19</v>
      </c>
      <c r="G133" s="2" t="s">
        <v>323</v>
      </c>
      <c r="H133" s="2" t="str">
        <f t="shared" si="1"/>
        <v>EXECUTE [dbo].[PG_CI_ARCUSFIL_PROGRAM]  0, 0, 'RUE','2016 RU OPCION EL',19</v>
      </c>
      <c r="I133" s="3"/>
      <c r="J133" s="3"/>
    </row>
    <row r="134" spans="1:10" x14ac:dyDescent="0.2">
      <c r="A134">
        <v>129</v>
      </c>
      <c r="B134" s="1">
        <v>19</v>
      </c>
      <c r="C134" s="1" t="s">
        <v>24</v>
      </c>
      <c r="D134" s="1" t="s">
        <v>57</v>
      </c>
      <c r="E134" t="s">
        <v>58</v>
      </c>
      <c r="F134" s="1">
        <v>19</v>
      </c>
      <c r="G134" s="2" t="s">
        <v>323</v>
      </c>
      <c r="H134" s="2" t="str">
        <f t="shared" si="1"/>
        <v>EXECUTE [dbo].[PG_CI_ARCUSFIL_PROGRAM]  0, 0, 'RUM','2016 RU OPCION ML',19</v>
      </c>
      <c r="I134" s="3"/>
      <c r="J134" s="3"/>
    </row>
    <row r="135" spans="1:10" x14ac:dyDescent="0.2">
      <c r="A135">
        <v>130</v>
      </c>
      <c r="B135" s="1">
        <v>19</v>
      </c>
      <c r="C135" s="1" t="s">
        <v>24</v>
      </c>
      <c r="D135" s="1" t="s">
        <v>55</v>
      </c>
      <c r="E135" t="s">
        <v>56</v>
      </c>
      <c r="F135" s="1">
        <v>19</v>
      </c>
      <c r="G135" s="2" t="s">
        <v>323</v>
      </c>
      <c r="H135" s="2" t="str">
        <f t="shared" ref="H135:H159" si="2">_xlfn.CONCAT(G135,"'",D135,"'",$H$5,"'",TRIM(E135),"'",$H$5,F135)</f>
        <v>EXECUTE [dbo].[PG_CI_ARCUSFIL_PROGRAM]  0, 0, 'SL3','2013 U387 SEL',19</v>
      </c>
      <c r="I135" s="3"/>
      <c r="J135" s="3"/>
    </row>
    <row r="136" spans="1:10" x14ac:dyDescent="0.2">
      <c r="A136">
        <v>131</v>
      </c>
      <c r="B136" s="1">
        <v>19</v>
      </c>
      <c r="C136" s="1" t="s">
        <v>24</v>
      </c>
      <c r="D136" s="1" t="s">
        <v>53</v>
      </c>
      <c r="E136" t="s">
        <v>54</v>
      </c>
      <c r="F136" s="1">
        <v>19</v>
      </c>
      <c r="G136" s="2" t="s">
        <v>323</v>
      </c>
      <c r="H136" s="2" t="str">
        <f t="shared" si="2"/>
        <v>EXECUTE [dbo].[PG_CI_ARCUSFIL_PROGRAM]  0, 0, 'U54','U540 VINYL LAMINATION',19</v>
      </c>
      <c r="I136" s="3"/>
      <c r="J136" s="3"/>
    </row>
    <row r="137" spans="1:10" x14ac:dyDescent="0.2">
      <c r="A137">
        <v>132</v>
      </c>
      <c r="B137" s="1">
        <v>19</v>
      </c>
      <c r="C137" s="1" t="s">
        <v>24</v>
      </c>
      <c r="D137" s="1" t="s">
        <v>51</v>
      </c>
      <c r="E137" t="s">
        <v>52</v>
      </c>
      <c r="F137" s="1">
        <v>19</v>
      </c>
      <c r="G137" s="2" t="s">
        <v>323</v>
      </c>
      <c r="H137" s="2" t="str">
        <f t="shared" si="2"/>
        <v>EXECUTE [dbo].[PG_CI_ARCUSFIL_PROGRAM]  0, 0, 'WBL','2017 WK BL',19</v>
      </c>
      <c r="I137" s="3"/>
    </row>
    <row r="138" spans="1:10" x14ac:dyDescent="0.2">
      <c r="A138">
        <v>133</v>
      </c>
      <c r="B138" s="1">
        <v>19</v>
      </c>
      <c r="C138" s="1" t="s">
        <v>24</v>
      </c>
      <c r="D138" s="1" t="s">
        <v>49</v>
      </c>
      <c r="E138" t="s">
        <v>50</v>
      </c>
      <c r="F138" s="1">
        <v>19</v>
      </c>
      <c r="G138" s="2" t="s">
        <v>323</v>
      </c>
      <c r="H138" s="2" t="str">
        <f t="shared" si="2"/>
        <v>EXECUTE [dbo].[PG_CI_ARCUSFIL_PROGRAM]  0, 0, 'WD2','2017 WD ML DOS TONOS',19</v>
      </c>
      <c r="I138" s="3"/>
      <c r="J138" s="3"/>
    </row>
    <row r="139" spans="1:10" x14ac:dyDescent="0.2">
      <c r="A139">
        <v>134</v>
      </c>
      <c r="B139" s="1">
        <v>19</v>
      </c>
      <c r="C139" s="1" t="s">
        <v>24</v>
      </c>
      <c r="D139" s="1" t="s">
        <v>47</v>
      </c>
      <c r="E139" t="s">
        <v>48</v>
      </c>
      <c r="F139" s="1">
        <v>19</v>
      </c>
      <c r="G139" s="2" t="s">
        <v>323</v>
      </c>
      <c r="H139" s="2" t="str">
        <f t="shared" si="2"/>
        <v>EXECUTE [dbo].[PG_CI_ARCUSFIL_PROGRAM]  0, 0, 'WDM','2017 WD ML',19</v>
      </c>
      <c r="I139" s="3"/>
      <c r="J139" s="3"/>
    </row>
    <row r="140" spans="1:10" x14ac:dyDescent="0.2">
      <c r="A140">
        <v>135</v>
      </c>
      <c r="B140" s="1">
        <v>19</v>
      </c>
      <c r="C140" s="1" t="s">
        <v>24</v>
      </c>
      <c r="D140" s="1" t="s">
        <v>45</v>
      </c>
      <c r="E140" t="s">
        <v>46</v>
      </c>
      <c r="F140" s="1">
        <v>19</v>
      </c>
      <c r="G140" s="2" t="s">
        <v>323</v>
      </c>
      <c r="H140" s="2" t="str">
        <f t="shared" si="2"/>
        <v>EXECUTE [dbo].[PG_CI_ARCUSFIL_PROGRAM]  0, 0, 'WEL','2017 WK-EL RESERVE',19</v>
      </c>
      <c r="I140" s="3"/>
      <c r="J140" s="2"/>
    </row>
    <row r="141" spans="1:10" x14ac:dyDescent="0.2">
      <c r="A141">
        <v>136</v>
      </c>
      <c r="B141" s="1">
        <v>19</v>
      </c>
      <c r="C141" s="1" t="s">
        <v>24</v>
      </c>
      <c r="D141" s="1" t="s">
        <v>43</v>
      </c>
      <c r="E141" t="s">
        <v>44</v>
      </c>
      <c r="F141" s="1">
        <v>19</v>
      </c>
      <c r="G141" s="2" t="s">
        <v>323</v>
      </c>
      <c r="H141" s="2" t="str">
        <f t="shared" si="2"/>
        <v>EXECUTE [dbo].[PG_CI_ARCUSFIL_PROGRAM]  0, 0, 'WKG','2014 WK JEEP GL/DL',19</v>
      </c>
      <c r="I141" s="3"/>
    </row>
    <row r="142" spans="1:10" x14ac:dyDescent="0.2">
      <c r="A142">
        <v>137</v>
      </c>
      <c r="B142" s="1">
        <v>19</v>
      </c>
      <c r="C142" s="1" t="s">
        <v>24</v>
      </c>
      <c r="D142" s="1" t="s">
        <v>41</v>
      </c>
      <c r="E142" t="s">
        <v>42</v>
      </c>
      <c r="F142" s="1">
        <v>19</v>
      </c>
      <c r="G142" s="2" t="s">
        <v>323</v>
      </c>
      <c r="H142" s="2" t="str">
        <f t="shared" si="2"/>
        <v>EXECUTE [dbo].[PG_CI_ARCUSFIL_PROGRAM]  0, 0, 'WKJ','2017 WK CJ',19</v>
      </c>
      <c r="I142" s="3"/>
      <c r="J142" s="3"/>
    </row>
    <row r="143" spans="1:10" x14ac:dyDescent="0.2">
      <c r="A143">
        <v>138</v>
      </c>
      <c r="B143" s="1">
        <v>19</v>
      </c>
      <c r="C143" s="1" t="s">
        <v>24</v>
      </c>
      <c r="D143" s="1" t="s">
        <v>39</v>
      </c>
      <c r="E143" t="s">
        <v>40</v>
      </c>
      <c r="F143" s="1">
        <v>19</v>
      </c>
      <c r="G143" s="2" t="s">
        <v>323</v>
      </c>
      <c r="H143" s="2" t="str">
        <f t="shared" si="2"/>
        <v>EXECUTE [dbo].[PG_CI_ARCUSFIL_PROGRAM]  0, 0, 'WKL','2015 WK KL ALTITUDE II',19</v>
      </c>
      <c r="I143" s="3"/>
      <c r="J143" s="3"/>
    </row>
    <row r="144" spans="1:10" x14ac:dyDescent="0.2">
      <c r="A144">
        <v>139</v>
      </c>
      <c r="B144" s="1">
        <v>19</v>
      </c>
      <c r="C144" s="1" t="s">
        <v>24</v>
      </c>
      <c r="D144" s="1" t="s">
        <v>37</v>
      </c>
      <c r="E144" t="s">
        <v>38</v>
      </c>
      <c r="F144" s="1">
        <v>19</v>
      </c>
      <c r="G144" s="2" t="s">
        <v>323</v>
      </c>
      <c r="H144" s="2" t="str">
        <f t="shared" si="2"/>
        <v>EXECUTE [dbo].[PG_CI_ARCUSFIL_PROGRAM]  0, 0, 'WKT','2014 WK JEEP GL/DL TWO TONES',19</v>
      </c>
      <c r="I144" s="3"/>
      <c r="J144" s="3"/>
    </row>
    <row r="145" spans="1:12" x14ac:dyDescent="0.2">
      <c r="A145">
        <v>140</v>
      </c>
      <c r="B145" s="1">
        <v>19</v>
      </c>
      <c r="C145" s="1" t="s">
        <v>24</v>
      </c>
      <c r="D145" s="1" t="s">
        <v>35</v>
      </c>
      <c r="E145" t="s">
        <v>36</v>
      </c>
      <c r="F145" s="1">
        <v>19</v>
      </c>
      <c r="G145" s="2" t="s">
        <v>323</v>
      </c>
      <c r="H145" s="2" t="str">
        <f t="shared" si="2"/>
        <v>EXECUTE [dbo].[PG_CI_ARCUSFIL_PROGRAM]  0, 0, 'WKU','2014 WK JEEP UL',19</v>
      </c>
      <c r="I145" s="3"/>
      <c r="J145" s="3"/>
    </row>
    <row r="146" spans="1:12" x14ac:dyDescent="0.2">
      <c r="A146">
        <v>141</v>
      </c>
      <c r="B146" s="1">
        <v>19</v>
      </c>
      <c r="C146" s="1" t="s">
        <v>24</v>
      </c>
      <c r="D146" s="1" t="s">
        <v>34</v>
      </c>
      <c r="E146" t="s">
        <v>25</v>
      </c>
      <c r="F146" s="1">
        <v>19</v>
      </c>
      <c r="G146" s="2" t="s">
        <v>323</v>
      </c>
      <c r="H146" s="2" t="str">
        <f t="shared" si="2"/>
        <v>EXECUTE [dbo].[PG_CI_ARCUSFIL_PROGRAM]  0, 0, 'WKY','2018 WK YL',19</v>
      </c>
      <c r="I146" s="3"/>
      <c r="J146" s="2"/>
    </row>
    <row r="147" spans="1:12" x14ac:dyDescent="0.2">
      <c r="A147">
        <v>142</v>
      </c>
      <c r="B147" s="1">
        <v>19</v>
      </c>
      <c r="C147" s="1" t="s">
        <v>24</v>
      </c>
      <c r="D147" s="1" t="s">
        <v>32</v>
      </c>
      <c r="E147" t="s">
        <v>33</v>
      </c>
      <c r="F147" s="1">
        <v>19</v>
      </c>
      <c r="G147" s="2" t="s">
        <v>323</v>
      </c>
      <c r="H147" s="2" t="str">
        <f t="shared" si="2"/>
        <v>EXECUTE [dbo].[PG_CI_ARCUSFIL_PROGRAM]  0, 0, 'WKZ','2014 WK DZ(SRT)',19</v>
      </c>
      <c r="I147" s="3"/>
      <c r="J147" s="3"/>
    </row>
    <row r="148" spans="1:12" x14ac:dyDescent="0.2">
      <c r="A148">
        <v>144</v>
      </c>
      <c r="B148" s="1">
        <v>19</v>
      </c>
      <c r="C148" s="1" t="s">
        <v>24</v>
      </c>
      <c r="D148" s="1" t="s">
        <v>30</v>
      </c>
      <c r="E148" t="s">
        <v>31</v>
      </c>
      <c r="F148" s="1">
        <v>19</v>
      </c>
      <c r="G148" s="2" t="s">
        <v>323</v>
      </c>
      <c r="H148" s="2" t="str">
        <f t="shared" si="2"/>
        <v>EXECUTE [dbo].[PG_CI_ARCUSFIL_PROGRAM]  0, 0, 'WNL','2018 WK NL',19</v>
      </c>
      <c r="I148" s="3"/>
      <c r="J148" s="3"/>
    </row>
    <row r="149" spans="1:12" x14ac:dyDescent="0.2">
      <c r="A149">
        <v>145</v>
      </c>
      <c r="B149" s="1">
        <v>19</v>
      </c>
      <c r="C149" s="1" t="s">
        <v>24</v>
      </c>
      <c r="D149" s="1" t="s">
        <v>28</v>
      </c>
      <c r="E149" t="s">
        <v>29</v>
      </c>
      <c r="F149" s="1">
        <v>19</v>
      </c>
      <c r="G149" s="2" t="s">
        <v>323</v>
      </c>
      <c r="H149" s="2" t="str">
        <f t="shared" si="2"/>
        <v>EXECUTE [dbo].[PG_CI_ARCUSFIL_PROGRAM]  0, 0, 'WPL','2018 WD PL',19</v>
      </c>
      <c r="J149" s="3"/>
    </row>
    <row r="150" spans="1:12" x14ac:dyDescent="0.2">
      <c r="A150">
        <v>146</v>
      </c>
      <c r="B150" s="1">
        <v>19</v>
      </c>
      <c r="C150" s="1" t="s">
        <v>24</v>
      </c>
      <c r="D150" s="1" t="s">
        <v>26</v>
      </c>
      <c r="E150" t="s">
        <v>27</v>
      </c>
      <c r="F150" s="1">
        <v>19</v>
      </c>
      <c r="G150" s="2" t="s">
        <v>323</v>
      </c>
      <c r="H150" s="2" t="str">
        <f t="shared" si="2"/>
        <v>EXECUTE [dbo].[PG_CI_ARCUSFIL_PROGRAM]  0, 0, 'WSL','2019 WS JEEP AL',19</v>
      </c>
      <c r="I150" s="3"/>
      <c r="J150" s="3"/>
    </row>
    <row r="151" spans="1:12" x14ac:dyDescent="0.2">
      <c r="A151">
        <v>147</v>
      </c>
      <c r="B151" s="1">
        <v>19</v>
      </c>
      <c r="C151" s="1" t="s">
        <v>24</v>
      </c>
      <c r="D151" s="1" t="s">
        <v>22</v>
      </c>
      <c r="E151" t="s">
        <v>23</v>
      </c>
      <c r="F151" s="1">
        <v>19</v>
      </c>
      <c r="G151" s="2" t="s">
        <v>323</v>
      </c>
      <c r="H151" s="2" t="str">
        <f t="shared" si="2"/>
        <v>EXECUTE [dbo].[PG_CI_ARCUSFIL_PROGRAM]  0, 0, 'XYZ','WK TEST',19</v>
      </c>
      <c r="I151" s="3"/>
      <c r="J151" s="3"/>
    </row>
    <row r="152" spans="1:12" x14ac:dyDescent="0.2">
      <c r="A152">
        <v>148</v>
      </c>
      <c r="B152" s="1">
        <v>41</v>
      </c>
      <c r="C152" s="1" t="s">
        <v>21</v>
      </c>
      <c r="D152" s="1" t="s">
        <v>19</v>
      </c>
      <c r="E152" t="s">
        <v>20</v>
      </c>
      <c r="F152" s="1">
        <v>41</v>
      </c>
      <c r="G152" s="2" t="s">
        <v>323</v>
      </c>
      <c r="H152" s="2" t="str">
        <f t="shared" si="2"/>
        <v>EXECUTE [dbo].[PG_CI_ARCUSFIL_PROGRAM]  0, 0, 'MYS','U388 HEADREST',41</v>
      </c>
      <c r="I152" s="3"/>
      <c r="J152" s="3"/>
    </row>
    <row r="153" spans="1:12" x14ac:dyDescent="0.2">
      <c r="A153">
        <v>149</v>
      </c>
      <c r="B153" s="1">
        <v>27</v>
      </c>
      <c r="C153" s="1" t="s">
        <v>18</v>
      </c>
      <c r="D153" s="1" t="s">
        <v>16</v>
      </c>
      <c r="E153" t="s">
        <v>17</v>
      </c>
      <c r="F153" s="1">
        <v>27</v>
      </c>
      <c r="G153" s="2" t="s">
        <v>323</v>
      </c>
      <c r="H153" s="2" t="str">
        <f t="shared" si="2"/>
        <v>EXECUTE [dbo].[PG_CI_ARCUSFIL_PROGRAM]  0, 0, 'THE','U228 NAVIGATOR HEADREST',27</v>
      </c>
    </row>
    <row r="154" spans="1:12" x14ac:dyDescent="0.2">
      <c r="A154">
        <v>150</v>
      </c>
      <c r="B154" s="1">
        <v>36</v>
      </c>
      <c r="C154" s="1" t="s">
        <v>15</v>
      </c>
      <c r="D154" s="1" t="s">
        <v>13</v>
      </c>
      <c r="E154" t="s">
        <v>14</v>
      </c>
      <c r="F154" s="1">
        <v>36</v>
      </c>
      <c r="G154" s="2" t="s">
        <v>323</v>
      </c>
      <c r="H154" s="2" t="str">
        <f t="shared" si="2"/>
        <v>EXECUTE [dbo].[PG_CI_ARCUSFIL_PROGRAM]  0, 0, 'RUP','2021 RU PINNACLE',36</v>
      </c>
    </row>
    <row r="155" spans="1:12" x14ac:dyDescent="0.2">
      <c r="A155">
        <v>151</v>
      </c>
      <c r="B155" s="1">
        <v>55</v>
      </c>
      <c r="C155" s="1" t="s">
        <v>12</v>
      </c>
      <c r="D155" s="1" t="s">
        <v>10</v>
      </c>
      <c r="E155" t="s">
        <v>11</v>
      </c>
      <c r="F155" s="1">
        <v>55</v>
      </c>
      <c r="G155" s="2" t="s">
        <v>323</v>
      </c>
      <c r="H155" s="2" t="str">
        <f t="shared" si="2"/>
        <v>EXECUTE [dbo].[PG_CI_ARCUSFIL_PROGRAM]  0, 0, 'WPI','2021 WPI WD CONSOLE LID',55</v>
      </c>
    </row>
    <row r="156" spans="1:12" x14ac:dyDescent="0.2">
      <c r="B156" s="1">
        <v>53</v>
      </c>
      <c r="C156" s="1" t="s">
        <v>7</v>
      </c>
      <c r="D156" s="1" t="s">
        <v>8</v>
      </c>
      <c r="E156" t="s">
        <v>9</v>
      </c>
      <c r="F156" s="1">
        <v>53</v>
      </c>
      <c r="G156" s="2" t="s">
        <v>323</v>
      </c>
      <c r="H156" s="2" t="str">
        <f t="shared" si="2"/>
        <v>EXECUTE [dbo].[PG_CI_ARCUSFIL_PROGRAM]  0, 0, 'YWD','WS YANGFENG DOOR PANEL',53</v>
      </c>
    </row>
    <row r="157" spans="1:12" s="4" customFormat="1" x14ac:dyDescent="0.2">
      <c r="A157" s="4">
        <v>143</v>
      </c>
      <c r="B157" s="5">
        <v>53</v>
      </c>
      <c r="C157" s="5" t="s">
        <v>7</v>
      </c>
      <c r="D157" s="5" t="s">
        <v>5</v>
      </c>
      <c r="E157" s="4" t="s">
        <v>6</v>
      </c>
      <c r="F157" s="5">
        <v>53</v>
      </c>
      <c r="G157" s="2" t="s">
        <v>323</v>
      </c>
      <c r="H157" s="2" t="str">
        <f t="shared" si="2"/>
        <v>EXECUTE [dbo].[PG_CI_ARCUSFIL_PROGRAM]  0, 0, 'YWS','2021 WS JEEP GRAND WAGONEER',53</v>
      </c>
      <c r="I157" s="6"/>
      <c r="L157" s="5"/>
    </row>
    <row r="158" spans="1:12" x14ac:dyDescent="0.2">
      <c r="B158" s="1">
        <v>58</v>
      </c>
      <c r="C158" s="1" t="s">
        <v>2</v>
      </c>
      <c r="D158" s="1" t="s">
        <v>3</v>
      </c>
      <c r="E158" t="s">
        <v>4</v>
      </c>
      <c r="F158" s="1">
        <v>58</v>
      </c>
      <c r="G158" s="2" t="s">
        <v>323</v>
      </c>
      <c r="H158" s="2" t="str">
        <f t="shared" si="2"/>
        <v>EXECUTE [dbo].[PG_CI_ARCUSFIL_PROGRAM]  0, 0, 'YC4','2021 WL 74 JEEP GRAND CHEROKEE',58</v>
      </c>
    </row>
    <row r="159" spans="1:12" x14ac:dyDescent="0.2">
      <c r="B159" s="1">
        <v>58</v>
      </c>
      <c r="C159" s="1" t="s">
        <v>2</v>
      </c>
      <c r="D159" s="1" t="s">
        <v>0</v>
      </c>
      <c r="E159" t="s">
        <v>1</v>
      </c>
      <c r="F159" s="1">
        <v>58</v>
      </c>
      <c r="G159" s="2" t="s">
        <v>323</v>
      </c>
      <c r="H159" s="2" t="str">
        <f t="shared" si="2"/>
        <v>EXECUTE [dbo].[PG_CI_ARCUSFIL_PROGRAM]  0, 0, 'YC5','2021 WL 75 JEEP GRAND CHEROKEE',58</v>
      </c>
    </row>
  </sheetData>
  <autoFilter ref="A5:L155" xr:uid="{968F2139-A068-493B-B5E6-50DD84E952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2021-01-27T22:58:37Z</dcterms:created>
  <dcterms:modified xsi:type="dcterms:W3CDTF">2021-03-30T22:44:08Z</dcterms:modified>
</cp:coreProperties>
</file>